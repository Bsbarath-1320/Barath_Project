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0C9C04B-3AB6-4940-A347-3689EFD670BF}" xr6:coauthVersionLast="47" xr6:coauthVersionMax="47" xr10:uidLastSave="{00000000-0000-0000-0000-000000000000}"/>
  <bookViews>
    <workbookView xWindow="-120" yWindow="-120" windowWidth="20730" windowHeight="11040" activeTab="2" xr2:uid="{BE02EA99-FAA1-4735-98AC-C11E1BA6606F}"/>
  </bookViews>
  <sheets>
    <sheet name="Raw Data" sheetId="7" r:id="rId1"/>
    <sheet name="Cleaned Data" sheetId="1" r:id="rId2"/>
    <sheet name="Production" sheetId="3" r:id="rId3"/>
    <sheet name="Sales" sheetId="4" r:id="rId4"/>
    <sheet name="Suppliers" sheetId="5" r:id="rId5"/>
    <sheet name="Products" sheetId="2" r:id="rId6"/>
    <sheet name="Portable Way" sheetId="6" r:id="rId7"/>
  </sheets>
  <definedNames>
    <definedName name="_xlnm._FilterDatabase" localSheetId="1" hidden="1">'Cleaned Data'!$A$1:$S$201</definedName>
    <definedName name="_xlnm._FilterDatabase" localSheetId="6" hidden="1">'Portable Way'!$A$1:$H$201</definedName>
    <definedName name="_xlnm._FilterDatabase" localSheetId="0" hidden="1">'Raw Data'!$A$1:$R$201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" i="6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E2" i="6"/>
  <c r="D2" i="6"/>
  <c r="C2" i="6"/>
  <c r="B2" i="6"/>
  <c r="L201" i="7"/>
  <c r="F201" i="7"/>
  <c r="L200" i="7"/>
  <c r="F200" i="7"/>
  <c r="L199" i="7"/>
  <c r="F199" i="7"/>
  <c r="L198" i="7"/>
  <c r="F198" i="7"/>
  <c r="L197" i="7"/>
  <c r="F197" i="7"/>
  <c r="L196" i="7"/>
  <c r="F196" i="7"/>
  <c r="L195" i="7"/>
  <c r="F195" i="7"/>
  <c r="L194" i="7"/>
  <c r="F194" i="7"/>
  <c r="L193" i="7"/>
  <c r="F193" i="7"/>
  <c r="L192" i="7"/>
  <c r="F192" i="7"/>
  <c r="L191" i="7"/>
  <c r="F191" i="7"/>
  <c r="L190" i="7"/>
  <c r="F190" i="7"/>
  <c r="L189" i="7"/>
  <c r="F189" i="7"/>
  <c r="L188" i="7"/>
  <c r="F188" i="7"/>
  <c r="L187" i="7"/>
  <c r="F187" i="7"/>
  <c r="L186" i="7"/>
  <c r="F186" i="7"/>
  <c r="L185" i="7"/>
  <c r="F185" i="7"/>
  <c r="L184" i="7"/>
  <c r="F184" i="7"/>
  <c r="L183" i="7"/>
  <c r="F183" i="7"/>
  <c r="L182" i="7"/>
  <c r="F182" i="7"/>
  <c r="L181" i="7"/>
  <c r="F181" i="7"/>
  <c r="L180" i="7"/>
  <c r="F180" i="7"/>
  <c r="L179" i="7"/>
  <c r="F179" i="7"/>
  <c r="L178" i="7"/>
  <c r="F178" i="7"/>
  <c r="L177" i="7"/>
  <c r="F177" i="7"/>
  <c r="L176" i="7"/>
  <c r="F176" i="7"/>
  <c r="L175" i="7"/>
  <c r="F175" i="7"/>
  <c r="L174" i="7"/>
  <c r="F174" i="7"/>
  <c r="L173" i="7"/>
  <c r="F173" i="7"/>
  <c r="L172" i="7"/>
  <c r="F172" i="7"/>
  <c r="L171" i="7"/>
  <c r="F171" i="7"/>
  <c r="L170" i="7"/>
  <c r="F170" i="7"/>
  <c r="L169" i="7"/>
  <c r="F169" i="7"/>
  <c r="L168" i="7"/>
  <c r="F168" i="7"/>
  <c r="L167" i="7"/>
  <c r="F167" i="7"/>
  <c r="L166" i="7"/>
  <c r="F166" i="7"/>
  <c r="L165" i="7"/>
  <c r="F165" i="7"/>
  <c r="L164" i="7"/>
  <c r="F164" i="7"/>
  <c r="L163" i="7"/>
  <c r="F163" i="7"/>
  <c r="L162" i="7"/>
  <c r="F162" i="7"/>
  <c r="L161" i="7"/>
  <c r="F161" i="7"/>
  <c r="L160" i="7"/>
  <c r="F160" i="7"/>
  <c r="L159" i="7"/>
  <c r="F159" i="7"/>
  <c r="L158" i="7"/>
  <c r="F158" i="7"/>
  <c r="L157" i="7"/>
  <c r="F157" i="7"/>
  <c r="L156" i="7"/>
  <c r="F156" i="7"/>
  <c r="L155" i="7"/>
  <c r="F155" i="7"/>
  <c r="L154" i="7"/>
  <c r="F154" i="7"/>
  <c r="L153" i="7"/>
  <c r="F153" i="7"/>
  <c r="L152" i="7"/>
  <c r="F152" i="7"/>
  <c r="L151" i="7"/>
  <c r="F151" i="7"/>
  <c r="L150" i="7"/>
  <c r="F150" i="7"/>
  <c r="L149" i="7"/>
  <c r="F149" i="7"/>
  <c r="L148" i="7"/>
  <c r="F148" i="7"/>
  <c r="L147" i="7"/>
  <c r="F147" i="7"/>
  <c r="L146" i="7"/>
  <c r="F146" i="7"/>
  <c r="L145" i="7"/>
  <c r="F145" i="7"/>
  <c r="L144" i="7"/>
  <c r="F144" i="7"/>
  <c r="L143" i="7"/>
  <c r="F143" i="7"/>
  <c r="L142" i="7"/>
  <c r="F142" i="7"/>
  <c r="L141" i="7"/>
  <c r="F141" i="7"/>
  <c r="L140" i="7"/>
  <c r="F140" i="7"/>
  <c r="L139" i="7"/>
  <c r="F139" i="7"/>
  <c r="L138" i="7"/>
  <c r="F138" i="7"/>
  <c r="L137" i="7"/>
  <c r="F137" i="7"/>
  <c r="L136" i="7"/>
  <c r="F136" i="7"/>
  <c r="L135" i="7"/>
  <c r="F135" i="7"/>
  <c r="L134" i="7"/>
  <c r="F134" i="7"/>
  <c r="L133" i="7"/>
  <c r="F133" i="7"/>
  <c r="L132" i="7"/>
  <c r="F132" i="7"/>
  <c r="L131" i="7"/>
  <c r="F131" i="7"/>
  <c r="L130" i="7"/>
  <c r="F130" i="7"/>
  <c r="L129" i="7"/>
  <c r="F129" i="7"/>
  <c r="L128" i="7"/>
  <c r="F128" i="7"/>
  <c r="L127" i="7"/>
  <c r="F127" i="7"/>
  <c r="L126" i="7"/>
  <c r="F126" i="7"/>
  <c r="L125" i="7"/>
  <c r="F125" i="7"/>
  <c r="L124" i="7"/>
  <c r="F124" i="7"/>
  <c r="L123" i="7"/>
  <c r="F123" i="7"/>
  <c r="L122" i="7"/>
  <c r="F122" i="7"/>
  <c r="L121" i="7"/>
  <c r="F121" i="7"/>
  <c r="L120" i="7"/>
  <c r="F120" i="7"/>
  <c r="L119" i="7"/>
  <c r="F119" i="7"/>
  <c r="L118" i="7"/>
  <c r="F118" i="7"/>
  <c r="L117" i="7"/>
  <c r="F117" i="7"/>
  <c r="L116" i="7"/>
  <c r="F116" i="7"/>
  <c r="L115" i="7"/>
  <c r="F115" i="7"/>
  <c r="L114" i="7"/>
  <c r="F114" i="7"/>
  <c r="L113" i="7"/>
  <c r="F113" i="7"/>
  <c r="L112" i="7"/>
  <c r="F112" i="7"/>
  <c r="L111" i="7"/>
  <c r="F111" i="7"/>
  <c r="L110" i="7"/>
  <c r="F110" i="7"/>
  <c r="L109" i="7"/>
  <c r="F109" i="7"/>
  <c r="L108" i="7"/>
  <c r="F108" i="7"/>
  <c r="L107" i="7"/>
  <c r="F107" i="7"/>
  <c r="L106" i="7"/>
  <c r="F106" i="7"/>
  <c r="L105" i="7"/>
  <c r="F105" i="7"/>
  <c r="L104" i="7"/>
  <c r="F104" i="7"/>
  <c r="L103" i="7"/>
  <c r="F103" i="7"/>
  <c r="L102" i="7"/>
  <c r="F102" i="7"/>
  <c r="L101" i="7"/>
  <c r="F101" i="7"/>
  <c r="L100" i="7"/>
  <c r="F100" i="7"/>
  <c r="L99" i="7"/>
  <c r="F99" i="7"/>
  <c r="L98" i="7"/>
  <c r="F98" i="7"/>
  <c r="L97" i="7"/>
  <c r="F97" i="7"/>
  <c r="L96" i="7"/>
  <c r="F96" i="7"/>
  <c r="L95" i="7"/>
  <c r="F95" i="7"/>
  <c r="L94" i="7"/>
  <c r="F94" i="7"/>
  <c r="L93" i="7"/>
  <c r="F93" i="7"/>
  <c r="L92" i="7"/>
  <c r="F92" i="7"/>
  <c r="L91" i="7"/>
  <c r="F91" i="7"/>
  <c r="L90" i="7"/>
  <c r="F90" i="7"/>
  <c r="L89" i="7"/>
  <c r="F89" i="7"/>
  <c r="L88" i="7"/>
  <c r="F88" i="7"/>
  <c r="L87" i="7"/>
  <c r="F87" i="7"/>
  <c r="L86" i="7"/>
  <c r="F86" i="7"/>
  <c r="L85" i="7"/>
  <c r="F85" i="7"/>
  <c r="L84" i="7"/>
  <c r="F84" i="7"/>
  <c r="L83" i="7"/>
  <c r="F83" i="7"/>
  <c r="L82" i="7"/>
  <c r="F82" i="7"/>
  <c r="L81" i="7"/>
  <c r="F81" i="7"/>
  <c r="L80" i="7"/>
  <c r="F80" i="7"/>
  <c r="L79" i="7"/>
  <c r="F79" i="7"/>
  <c r="L78" i="7"/>
  <c r="F78" i="7"/>
  <c r="L77" i="7"/>
  <c r="F77" i="7"/>
  <c r="L76" i="7"/>
  <c r="F76" i="7"/>
  <c r="L75" i="7"/>
  <c r="F75" i="7"/>
  <c r="L74" i="7"/>
  <c r="F74" i="7"/>
  <c r="L73" i="7"/>
  <c r="F73" i="7"/>
  <c r="L72" i="7"/>
  <c r="F72" i="7"/>
  <c r="L71" i="7"/>
  <c r="F71" i="7"/>
  <c r="L70" i="7"/>
  <c r="F70" i="7"/>
  <c r="L69" i="7"/>
  <c r="F69" i="7"/>
  <c r="L68" i="7"/>
  <c r="F68" i="7"/>
  <c r="L67" i="7"/>
  <c r="F67" i="7"/>
  <c r="L66" i="7"/>
  <c r="F66" i="7"/>
  <c r="L65" i="7"/>
  <c r="F65" i="7"/>
  <c r="L64" i="7"/>
  <c r="F64" i="7"/>
  <c r="L63" i="7"/>
  <c r="F63" i="7"/>
  <c r="L62" i="7"/>
  <c r="F62" i="7"/>
  <c r="L61" i="7"/>
  <c r="F61" i="7"/>
  <c r="L60" i="7"/>
  <c r="F60" i="7"/>
  <c r="L59" i="7"/>
  <c r="F59" i="7"/>
  <c r="L58" i="7"/>
  <c r="F58" i="7"/>
  <c r="L57" i="7"/>
  <c r="F57" i="7"/>
  <c r="L56" i="7"/>
  <c r="F56" i="7"/>
  <c r="L55" i="7"/>
  <c r="F55" i="7"/>
  <c r="L54" i="7"/>
  <c r="F54" i="7"/>
  <c r="L53" i="7"/>
  <c r="F53" i="7"/>
  <c r="L52" i="7"/>
  <c r="F52" i="7"/>
  <c r="L51" i="7"/>
  <c r="F51" i="7"/>
  <c r="L50" i="7"/>
  <c r="F50" i="7"/>
  <c r="L49" i="7"/>
  <c r="F49" i="7"/>
  <c r="L48" i="7"/>
  <c r="F48" i="7"/>
  <c r="L47" i="7"/>
  <c r="F47" i="7"/>
  <c r="L46" i="7"/>
  <c r="F46" i="7"/>
  <c r="L45" i="7"/>
  <c r="F45" i="7"/>
  <c r="L44" i="7"/>
  <c r="F44" i="7"/>
  <c r="L43" i="7"/>
  <c r="F43" i="7"/>
  <c r="L42" i="7"/>
  <c r="F42" i="7"/>
  <c r="L41" i="7"/>
  <c r="F41" i="7"/>
  <c r="L40" i="7"/>
  <c r="F40" i="7"/>
  <c r="L39" i="7"/>
  <c r="F39" i="7"/>
  <c r="L38" i="7"/>
  <c r="F38" i="7"/>
  <c r="L37" i="7"/>
  <c r="F37" i="7"/>
  <c r="L36" i="7"/>
  <c r="F36" i="7"/>
  <c r="L35" i="7"/>
  <c r="F35" i="7"/>
  <c r="L34" i="7"/>
  <c r="F34" i="7"/>
  <c r="L33" i="7"/>
  <c r="F33" i="7"/>
  <c r="L32" i="7"/>
  <c r="F32" i="7"/>
  <c r="L31" i="7"/>
  <c r="F31" i="7"/>
  <c r="L30" i="7"/>
  <c r="F30" i="7"/>
  <c r="L29" i="7"/>
  <c r="F29" i="7"/>
  <c r="L28" i="7"/>
  <c r="F28" i="7"/>
  <c r="L27" i="7"/>
  <c r="F27" i="7"/>
  <c r="L26" i="7"/>
  <c r="F26" i="7"/>
  <c r="L25" i="7"/>
  <c r="F25" i="7"/>
  <c r="L24" i="7"/>
  <c r="F24" i="7"/>
  <c r="L23" i="7"/>
  <c r="F23" i="7"/>
  <c r="L22" i="7"/>
  <c r="F22" i="7"/>
  <c r="L21" i="7"/>
  <c r="F21" i="7"/>
  <c r="L20" i="7"/>
  <c r="F20" i="7"/>
  <c r="L19" i="7"/>
  <c r="F19" i="7"/>
  <c r="L18" i="7"/>
  <c r="F18" i="7"/>
  <c r="L17" i="7"/>
  <c r="F17" i="7"/>
  <c r="L16" i="7"/>
  <c r="F16" i="7"/>
  <c r="L15" i="7"/>
  <c r="F15" i="7"/>
  <c r="L14" i="7"/>
  <c r="F14" i="7"/>
  <c r="L13" i="7"/>
  <c r="F13" i="7"/>
  <c r="L12" i="7"/>
  <c r="F12" i="7"/>
  <c r="L11" i="7"/>
  <c r="F11" i="7"/>
  <c r="L10" i="7"/>
  <c r="F10" i="7"/>
  <c r="L9" i="7"/>
  <c r="F9" i="7"/>
  <c r="L8" i="7"/>
  <c r="F8" i="7"/>
  <c r="L7" i="7"/>
  <c r="F7" i="7"/>
  <c r="L6" i="7"/>
  <c r="F6" i="7"/>
  <c r="L5" i="7"/>
  <c r="F5" i="7"/>
  <c r="L4" i="7"/>
  <c r="F4" i="7"/>
  <c r="L3" i="7"/>
  <c r="F3" i="7"/>
  <c r="L2" i="7"/>
  <c r="F2" i="7"/>
  <c r="B3" i="3"/>
  <c r="C3" i="3"/>
  <c r="E3" i="3"/>
  <c r="F3" i="3"/>
  <c r="B4" i="3"/>
  <c r="C4" i="3"/>
  <c r="E4" i="3"/>
  <c r="F4" i="3"/>
  <c r="B5" i="3"/>
  <c r="C5" i="3"/>
  <c r="E5" i="3"/>
  <c r="F5" i="3"/>
  <c r="B6" i="3"/>
  <c r="C6" i="3"/>
  <c r="E6" i="3"/>
  <c r="F6" i="3"/>
  <c r="B7" i="3"/>
  <c r="C7" i="3"/>
  <c r="E7" i="3"/>
  <c r="F7" i="3"/>
  <c r="B8" i="3"/>
  <c r="C8" i="3"/>
  <c r="E8" i="3"/>
  <c r="F8" i="3"/>
  <c r="B9" i="3"/>
  <c r="C9" i="3"/>
  <c r="E9" i="3"/>
  <c r="F9" i="3"/>
  <c r="B10" i="3"/>
  <c r="C10" i="3"/>
  <c r="E10" i="3"/>
  <c r="F10" i="3"/>
  <c r="B11" i="3"/>
  <c r="C11" i="3"/>
  <c r="E11" i="3"/>
  <c r="F11" i="3"/>
  <c r="B12" i="3"/>
  <c r="C12" i="3"/>
  <c r="E12" i="3"/>
  <c r="F12" i="3"/>
  <c r="B13" i="3"/>
  <c r="C13" i="3"/>
  <c r="E13" i="3"/>
  <c r="F13" i="3"/>
  <c r="B14" i="3"/>
  <c r="C14" i="3"/>
  <c r="E14" i="3"/>
  <c r="F14" i="3"/>
  <c r="B15" i="3"/>
  <c r="C15" i="3"/>
  <c r="E15" i="3"/>
  <c r="F15" i="3"/>
  <c r="B16" i="3"/>
  <c r="C16" i="3"/>
  <c r="E16" i="3"/>
  <c r="F16" i="3"/>
  <c r="B17" i="3"/>
  <c r="C17" i="3"/>
  <c r="E17" i="3"/>
  <c r="F17" i="3"/>
  <c r="B18" i="3"/>
  <c r="C18" i="3"/>
  <c r="E18" i="3"/>
  <c r="F18" i="3"/>
  <c r="B19" i="3"/>
  <c r="C19" i="3"/>
  <c r="E19" i="3"/>
  <c r="F19" i="3"/>
  <c r="B20" i="3"/>
  <c r="C20" i="3"/>
  <c r="E20" i="3"/>
  <c r="F20" i="3"/>
  <c r="B21" i="3"/>
  <c r="C21" i="3"/>
  <c r="E21" i="3"/>
  <c r="F21" i="3"/>
  <c r="B22" i="3"/>
  <c r="C22" i="3"/>
  <c r="E22" i="3"/>
  <c r="F22" i="3"/>
  <c r="B23" i="3"/>
  <c r="C23" i="3"/>
  <c r="E23" i="3"/>
  <c r="F23" i="3"/>
  <c r="B24" i="3"/>
  <c r="C24" i="3"/>
  <c r="E24" i="3"/>
  <c r="F24" i="3"/>
  <c r="B25" i="3"/>
  <c r="C25" i="3"/>
  <c r="E25" i="3"/>
  <c r="F25" i="3"/>
  <c r="B26" i="3"/>
  <c r="C26" i="3"/>
  <c r="E26" i="3"/>
  <c r="F26" i="3"/>
  <c r="B27" i="3"/>
  <c r="C27" i="3"/>
  <c r="E27" i="3"/>
  <c r="F27" i="3"/>
  <c r="B28" i="3"/>
  <c r="C28" i="3"/>
  <c r="E28" i="3"/>
  <c r="F28" i="3"/>
  <c r="B29" i="3"/>
  <c r="C29" i="3"/>
  <c r="E29" i="3"/>
  <c r="F29" i="3"/>
  <c r="B30" i="3"/>
  <c r="C30" i="3"/>
  <c r="E30" i="3"/>
  <c r="F30" i="3"/>
  <c r="B31" i="3"/>
  <c r="C31" i="3"/>
  <c r="E31" i="3"/>
  <c r="F31" i="3"/>
  <c r="B32" i="3"/>
  <c r="C32" i="3"/>
  <c r="E32" i="3"/>
  <c r="F32" i="3"/>
  <c r="B33" i="3"/>
  <c r="C33" i="3"/>
  <c r="E33" i="3"/>
  <c r="F33" i="3"/>
  <c r="B34" i="3"/>
  <c r="C34" i="3"/>
  <c r="E34" i="3"/>
  <c r="F34" i="3"/>
  <c r="B35" i="3"/>
  <c r="C35" i="3"/>
  <c r="E35" i="3"/>
  <c r="F35" i="3"/>
  <c r="B36" i="3"/>
  <c r="C36" i="3"/>
  <c r="E36" i="3"/>
  <c r="F36" i="3"/>
  <c r="B37" i="3"/>
  <c r="C37" i="3"/>
  <c r="E37" i="3"/>
  <c r="F37" i="3"/>
  <c r="B38" i="3"/>
  <c r="C38" i="3"/>
  <c r="E38" i="3"/>
  <c r="F38" i="3"/>
  <c r="B39" i="3"/>
  <c r="C39" i="3"/>
  <c r="E39" i="3"/>
  <c r="F39" i="3"/>
  <c r="B40" i="3"/>
  <c r="C40" i="3"/>
  <c r="E40" i="3"/>
  <c r="F40" i="3"/>
  <c r="B41" i="3"/>
  <c r="C41" i="3"/>
  <c r="E41" i="3"/>
  <c r="F41" i="3"/>
  <c r="B42" i="3"/>
  <c r="C42" i="3"/>
  <c r="E42" i="3"/>
  <c r="F42" i="3"/>
  <c r="B43" i="3"/>
  <c r="C43" i="3"/>
  <c r="E43" i="3"/>
  <c r="F43" i="3"/>
  <c r="B44" i="3"/>
  <c r="C44" i="3"/>
  <c r="E44" i="3"/>
  <c r="F44" i="3"/>
  <c r="B45" i="3"/>
  <c r="C45" i="3"/>
  <c r="E45" i="3"/>
  <c r="F45" i="3"/>
  <c r="B46" i="3"/>
  <c r="C46" i="3"/>
  <c r="E46" i="3"/>
  <c r="F46" i="3"/>
  <c r="B47" i="3"/>
  <c r="C47" i="3"/>
  <c r="E47" i="3"/>
  <c r="F47" i="3"/>
  <c r="B48" i="3"/>
  <c r="C48" i="3"/>
  <c r="E48" i="3"/>
  <c r="F48" i="3"/>
  <c r="B49" i="3"/>
  <c r="C49" i="3"/>
  <c r="E49" i="3"/>
  <c r="F49" i="3"/>
  <c r="B50" i="3"/>
  <c r="C50" i="3"/>
  <c r="E50" i="3"/>
  <c r="F50" i="3"/>
  <c r="B51" i="3"/>
  <c r="C51" i="3"/>
  <c r="E51" i="3"/>
  <c r="F51" i="3"/>
  <c r="B52" i="3"/>
  <c r="C52" i="3"/>
  <c r="E52" i="3"/>
  <c r="F52" i="3"/>
  <c r="B53" i="3"/>
  <c r="C53" i="3"/>
  <c r="E53" i="3"/>
  <c r="F53" i="3"/>
  <c r="B54" i="3"/>
  <c r="C54" i="3"/>
  <c r="E54" i="3"/>
  <c r="F54" i="3"/>
  <c r="B55" i="3"/>
  <c r="C55" i="3"/>
  <c r="E55" i="3"/>
  <c r="F55" i="3"/>
  <c r="B56" i="3"/>
  <c r="C56" i="3"/>
  <c r="E56" i="3"/>
  <c r="F56" i="3"/>
  <c r="B57" i="3"/>
  <c r="C57" i="3"/>
  <c r="E57" i="3"/>
  <c r="F57" i="3"/>
  <c r="B58" i="3"/>
  <c r="C58" i="3"/>
  <c r="E58" i="3"/>
  <c r="F58" i="3"/>
  <c r="B59" i="3"/>
  <c r="C59" i="3"/>
  <c r="E59" i="3"/>
  <c r="F59" i="3"/>
  <c r="B60" i="3"/>
  <c r="C60" i="3"/>
  <c r="E60" i="3"/>
  <c r="F60" i="3"/>
  <c r="B61" i="3"/>
  <c r="C61" i="3"/>
  <c r="E61" i="3"/>
  <c r="F61" i="3"/>
  <c r="B62" i="3"/>
  <c r="C62" i="3"/>
  <c r="E62" i="3"/>
  <c r="F62" i="3"/>
  <c r="B63" i="3"/>
  <c r="C63" i="3"/>
  <c r="E63" i="3"/>
  <c r="F63" i="3"/>
  <c r="B64" i="3"/>
  <c r="C64" i="3"/>
  <c r="E64" i="3"/>
  <c r="F64" i="3"/>
  <c r="B65" i="3"/>
  <c r="C65" i="3"/>
  <c r="E65" i="3"/>
  <c r="F65" i="3"/>
  <c r="B66" i="3"/>
  <c r="C66" i="3"/>
  <c r="E66" i="3"/>
  <c r="F66" i="3"/>
  <c r="B67" i="3"/>
  <c r="C67" i="3"/>
  <c r="E67" i="3"/>
  <c r="F67" i="3"/>
  <c r="B68" i="3"/>
  <c r="C68" i="3"/>
  <c r="E68" i="3"/>
  <c r="F68" i="3"/>
  <c r="B69" i="3"/>
  <c r="C69" i="3"/>
  <c r="E69" i="3"/>
  <c r="F69" i="3"/>
  <c r="B70" i="3"/>
  <c r="C70" i="3"/>
  <c r="E70" i="3"/>
  <c r="F70" i="3"/>
  <c r="B71" i="3"/>
  <c r="C71" i="3"/>
  <c r="E71" i="3"/>
  <c r="F71" i="3"/>
  <c r="B72" i="3"/>
  <c r="C72" i="3"/>
  <c r="E72" i="3"/>
  <c r="F72" i="3"/>
  <c r="B73" i="3"/>
  <c r="C73" i="3"/>
  <c r="E73" i="3"/>
  <c r="F73" i="3"/>
  <c r="B74" i="3"/>
  <c r="C74" i="3"/>
  <c r="E74" i="3"/>
  <c r="F74" i="3"/>
  <c r="B75" i="3"/>
  <c r="C75" i="3"/>
  <c r="E75" i="3"/>
  <c r="F75" i="3"/>
  <c r="B76" i="3"/>
  <c r="C76" i="3"/>
  <c r="E76" i="3"/>
  <c r="F76" i="3"/>
  <c r="B77" i="3"/>
  <c r="C77" i="3"/>
  <c r="E77" i="3"/>
  <c r="F77" i="3"/>
  <c r="B78" i="3"/>
  <c r="C78" i="3"/>
  <c r="E78" i="3"/>
  <c r="F78" i="3"/>
  <c r="B79" i="3"/>
  <c r="C79" i="3"/>
  <c r="E79" i="3"/>
  <c r="F79" i="3"/>
  <c r="B80" i="3"/>
  <c r="C80" i="3"/>
  <c r="E80" i="3"/>
  <c r="F80" i="3"/>
  <c r="B81" i="3"/>
  <c r="C81" i="3"/>
  <c r="E81" i="3"/>
  <c r="F81" i="3"/>
  <c r="B82" i="3"/>
  <c r="C82" i="3"/>
  <c r="E82" i="3"/>
  <c r="F82" i="3"/>
  <c r="B83" i="3"/>
  <c r="C83" i="3"/>
  <c r="E83" i="3"/>
  <c r="F83" i="3"/>
  <c r="B84" i="3"/>
  <c r="C84" i="3"/>
  <c r="E84" i="3"/>
  <c r="F84" i="3"/>
  <c r="B85" i="3"/>
  <c r="C85" i="3"/>
  <c r="E85" i="3"/>
  <c r="F85" i="3"/>
  <c r="B86" i="3"/>
  <c r="C86" i="3"/>
  <c r="E86" i="3"/>
  <c r="F86" i="3"/>
  <c r="B87" i="3"/>
  <c r="C87" i="3"/>
  <c r="E87" i="3"/>
  <c r="F87" i="3"/>
  <c r="B88" i="3"/>
  <c r="C88" i="3"/>
  <c r="E88" i="3"/>
  <c r="F88" i="3"/>
  <c r="B89" i="3"/>
  <c r="C89" i="3"/>
  <c r="E89" i="3"/>
  <c r="F89" i="3"/>
  <c r="B90" i="3"/>
  <c r="C90" i="3"/>
  <c r="E90" i="3"/>
  <c r="F90" i="3"/>
  <c r="B91" i="3"/>
  <c r="C91" i="3"/>
  <c r="E91" i="3"/>
  <c r="F91" i="3"/>
  <c r="B92" i="3"/>
  <c r="C92" i="3"/>
  <c r="E92" i="3"/>
  <c r="F92" i="3"/>
  <c r="B93" i="3"/>
  <c r="C93" i="3"/>
  <c r="E93" i="3"/>
  <c r="F93" i="3"/>
  <c r="B94" i="3"/>
  <c r="C94" i="3"/>
  <c r="E94" i="3"/>
  <c r="F94" i="3"/>
  <c r="B95" i="3"/>
  <c r="C95" i="3"/>
  <c r="E95" i="3"/>
  <c r="F95" i="3"/>
  <c r="B96" i="3"/>
  <c r="C96" i="3"/>
  <c r="E96" i="3"/>
  <c r="F96" i="3"/>
  <c r="B97" i="3"/>
  <c r="C97" i="3"/>
  <c r="E97" i="3"/>
  <c r="F97" i="3"/>
  <c r="B98" i="3"/>
  <c r="C98" i="3"/>
  <c r="E98" i="3"/>
  <c r="F98" i="3"/>
  <c r="B99" i="3"/>
  <c r="C99" i="3"/>
  <c r="E99" i="3"/>
  <c r="F99" i="3"/>
  <c r="B100" i="3"/>
  <c r="C100" i="3"/>
  <c r="E100" i="3"/>
  <c r="F100" i="3"/>
  <c r="B101" i="3"/>
  <c r="C101" i="3"/>
  <c r="E101" i="3"/>
  <c r="F101" i="3"/>
  <c r="B102" i="3"/>
  <c r="C102" i="3"/>
  <c r="E102" i="3"/>
  <c r="F102" i="3"/>
  <c r="B103" i="3"/>
  <c r="C103" i="3"/>
  <c r="E103" i="3"/>
  <c r="F103" i="3"/>
  <c r="B104" i="3"/>
  <c r="C104" i="3"/>
  <c r="E104" i="3"/>
  <c r="F104" i="3"/>
  <c r="B105" i="3"/>
  <c r="C105" i="3"/>
  <c r="E105" i="3"/>
  <c r="F105" i="3"/>
  <c r="B106" i="3"/>
  <c r="C106" i="3"/>
  <c r="E106" i="3"/>
  <c r="F106" i="3"/>
  <c r="B107" i="3"/>
  <c r="C107" i="3"/>
  <c r="E107" i="3"/>
  <c r="F107" i="3"/>
  <c r="B108" i="3"/>
  <c r="C108" i="3"/>
  <c r="E108" i="3"/>
  <c r="F108" i="3"/>
  <c r="B109" i="3"/>
  <c r="C109" i="3"/>
  <c r="E109" i="3"/>
  <c r="F109" i="3"/>
  <c r="B110" i="3"/>
  <c r="C110" i="3"/>
  <c r="E110" i="3"/>
  <c r="F110" i="3"/>
  <c r="B111" i="3"/>
  <c r="C111" i="3"/>
  <c r="E111" i="3"/>
  <c r="F111" i="3"/>
  <c r="B112" i="3"/>
  <c r="C112" i="3"/>
  <c r="E112" i="3"/>
  <c r="F112" i="3"/>
  <c r="B113" i="3"/>
  <c r="C113" i="3"/>
  <c r="E113" i="3"/>
  <c r="F113" i="3"/>
  <c r="B114" i="3"/>
  <c r="C114" i="3"/>
  <c r="E114" i="3"/>
  <c r="F114" i="3"/>
  <c r="B115" i="3"/>
  <c r="C115" i="3"/>
  <c r="E115" i="3"/>
  <c r="F115" i="3"/>
  <c r="B116" i="3"/>
  <c r="C116" i="3"/>
  <c r="E116" i="3"/>
  <c r="F116" i="3"/>
  <c r="B117" i="3"/>
  <c r="C117" i="3"/>
  <c r="E117" i="3"/>
  <c r="F117" i="3"/>
  <c r="B118" i="3"/>
  <c r="C118" i="3"/>
  <c r="E118" i="3"/>
  <c r="F118" i="3"/>
  <c r="B119" i="3"/>
  <c r="C119" i="3"/>
  <c r="E119" i="3"/>
  <c r="F119" i="3"/>
  <c r="B120" i="3"/>
  <c r="C120" i="3"/>
  <c r="E120" i="3"/>
  <c r="F120" i="3"/>
  <c r="B121" i="3"/>
  <c r="C121" i="3"/>
  <c r="E121" i="3"/>
  <c r="F121" i="3"/>
  <c r="B122" i="3"/>
  <c r="C122" i="3"/>
  <c r="E122" i="3"/>
  <c r="F122" i="3"/>
  <c r="B123" i="3"/>
  <c r="C123" i="3"/>
  <c r="E123" i="3"/>
  <c r="F123" i="3"/>
  <c r="B124" i="3"/>
  <c r="C124" i="3"/>
  <c r="E124" i="3"/>
  <c r="F124" i="3"/>
  <c r="B125" i="3"/>
  <c r="C125" i="3"/>
  <c r="E125" i="3"/>
  <c r="F125" i="3"/>
  <c r="B126" i="3"/>
  <c r="C126" i="3"/>
  <c r="E126" i="3"/>
  <c r="F126" i="3"/>
  <c r="B127" i="3"/>
  <c r="C127" i="3"/>
  <c r="E127" i="3"/>
  <c r="F127" i="3"/>
  <c r="B128" i="3"/>
  <c r="C128" i="3"/>
  <c r="E128" i="3"/>
  <c r="F128" i="3"/>
  <c r="B129" i="3"/>
  <c r="C129" i="3"/>
  <c r="E129" i="3"/>
  <c r="F129" i="3"/>
  <c r="B130" i="3"/>
  <c r="C130" i="3"/>
  <c r="E130" i="3"/>
  <c r="F130" i="3"/>
  <c r="B131" i="3"/>
  <c r="C131" i="3"/>
  <c r="E131" i="3"/>
  <c r="F131" i="3"/>
  <c r="B132" i="3"/>
  <c r="C132" i="3"/>
  <c r="E132" i="3"/>
  <c r="F132" i="3"/>
  <c r="B133" i="3"/>
  <c r="C133" i="3"/>
  <c r="E133" i="3"/>
  <c r="F133" i="3"/>
  <c r="B134" i="3"/>
  <c r="C134" i="3"/>
  <c r="E134" i="3"/>
  <c r="F134" i="3"/>
  <c r="B135" i="3"/>
  <c r="C135" i="3"/>
  <c r="E135" i="3"/>
  <c r="F135" i="3"/>
  <c r="B136" i="3"/>
  <c r="C136" i="3"/>
  <c r="E136" i="3"/>
  <c r="F136" i="3"/>
  <c r="B137" i="3"/>
  <c r="C137" i="3"/>
  <c r="E137" i="3"/>
  <c r="F137" i="3"/>
  <c r="B138" i="3"/>
  <c r="C138" i="3"/>
  <c r="E138" i="3"/>
  <c r="F138" i="3"/>
  <c r="B139" i="3"/>
  <c r="C139" i="3"/>
  <c r="E139" i="3"/>
  <c r="F139" i="3"/>
  <c r="B140" i="3"/>
  <c r="C140" i="3"/>
  <c r="E140" i="3"/>
  <c r="F140" i="3"/>
  <c r="B141" i="3"/>
  <c r="C141" i="3"/>
  <c r="E141" i="3"/>
  <c r="F141" i="3"/>
  <c r="B142" i="3"/>
  <c r="C142" i="3"/>
  <c r="E142" i="3"/>
  <c r="F142" i="3"/>
  <c r="B143" i="3"/>
  <c r="C143" i="3"/>
  <c r="E143" i="3"/>
  <c r="F143" i="3"/>
  <c r="B144" i="3"/>
  <c r="C144" i="3"/>
  <c r="E144" i="3"/>
  <c r="F144" i="3"/>
  <c r="B145" i="3"/>
  <c r="C145" i="3"/>
  <c r="E145" i="3"/>
  <c r="F145" i="3"/>
  <c r="B146" i="3"/>
  <c r="C146" i="3"/>
  <c r="E146" i="3"/>
  <c r="F146" i="3"/>
  <c r="B147" i="3"/>
  <c r="C147" i="3"/>
  <c r="E147" i="3"/>
  <c r="F147" i="3"/>
  <c r="B148" i="3"/>
  <c r="C148" i="3"/>
  <c r="E148" i="3"/>
  <c r="F148" i="3"/>
  <c r="B149" i="3"/>
  <c r="C149" i="3"/>
  <c r="E149" i="3"/>
  <c r="F149" i="3"/>
  <c r="B150" i="3"/>
  <c r="C150" i="3"/>
  <c r="E150" i="3"/>
  <c r="F150" i="3"/>
  <c r="B151" i="3"/>
  <c r="C151" i="3"/>
  <c r="E151" i="3"/>
  <c r="F151" i="3"/>
  <c r="B152" i="3"/>
  <c r="C152" i="3"/>
  <c r="E152" i="3"/>
  <c r="F152" i="3"/>
  <c r="B153" i="3"/>
  <c r="C153" i="3"/>
  <c r="E153" i="3"/>
  <c r="F153" i="3"/>
  <c r="B154" i="3"/>
  <c r="C154" i="3"/>
  <c r="E154" i="3"/>
  <c r="F154" i="3"/>
  <c r="B155" i="3"/>
  <c r="C155" i="3"/>
  <c r="E155" i="3"/>
  <c r="F155" i="3"/>
  <c r="B156" i="3"/>
  <c r="C156" i="3"/>
  <c r="E156" i="3"/>
  <c r="F156" i="3"/>
  <c r="B157" i="3"/>
  <c r="C157" i="3"/>
  <c r="E157" i="3"/>
  <c r="F157" i="3"/>
  <c r="B158" i="3"/>
  <c r="C158" i="3"/>
  <c r="E158" i="3"/>
  <c r="F158" i="3"/>
  <c r="B159" i="3"/>
  <c r="C159" i="3"/>
  <c r="E159" i="3"/>
  <c r="F159" i="3"/>
  <c r="B160" i="3"/>
  <c r="C160" i="3"/>
  <c r="E160" i="3"/>
  <c r="F160" i="3"/>
  <c r="B161" i="3"/>
  <c r="C161" i="3"/>
  <c r="E161" i="3"/>
  <c r="F161" i="3"/>
  <c r="B162" i="3"/>
  <c r="C162" i="3"/>
  <c r="E162" i="3"/>
  <c r="F162" i="3"/>
  <c r="B163" i="3"/>
  <c r="C163" i="3"/>
  <c r="E163" i="3"/>
  <c r="F163" i="3"/>
  <c r="B164" i="3"/>
  <c r="C164" i="3"/>
  <c r="E164" i="3"/>
  <c r="F164" i="3"/>
  <c r="B165" i="3"/>
  <c r="C165" i="3"/>
  <c r="E165" i="3"/>
  <c r="F165" i="3"/>
  <c r="B166" i="3"/>
  <c r="C166" i="3"/>
  <c r="E166" i="3"/>
  <c r="F166" i="3"/>
  <c r="B167" i="3"/>
  <c r="C167" i="3"/>
  <c r="E167" i="3"/>
  <c r="F167" i="3"/>
  <c r="B168" i="3"/>
  <c r="C168" i="3"/>
  <c r="E168" i="3"/>
  <c r="F168" i="3"/>
  <c r="B169" i="3"/>
  <c r="C169" i="3"/>
  <c r="E169" i="3"/>
  <c r="F169" i="3"/>
  <c r="B170" i="3"/>
  <c r="C170" i="3"/>
  <c r="E170" i="3"/>
  <c r="F170" i="3"/>
  <c r="B171" i="3"/>
  <c r="C171" i="3"/>
  <c r="E171" i="3"/>
  <c r="F171" i="3"/>
  <c r="B172" i="3"/>
  <c r="C172" i="3"/>
  <c r="E172" i="3"/>
  <c r="F172" i="3"/>
  <c r="B173" i="3"/>
  <c r="C173" i="3"/>
  <c r="E173" i="3"/>
  <c r="F173" i="3"/>
  <c r="B174" i="3"/>
  <c r="C174" i="3"/>
  <c r="E174" i="3"/>
  <c r="F174" i="3"/>
  <c r="B175" i="3"/>
  <c r="C175" i="3"/>
  <c r="E175" i="3"/>
  <c r="F175" i="3"/>
  <c r="B176" i="3"/>
  <c r="C176" i="3"/>
  <c r="E176" i="3"/>
  <c r="F176" i="3"/>
  <c r="B177" i="3"/>
  <c r="C177" i="3"/>
  <c r="E177" i="3"/>
  <c r="F177" i="3"/>
  <c r="B178" i="3"/>
  <c r="C178" i="3"/>
  <c r="E178" i="3"/>
  <c r="F178" i="3"/>
  <c r="B179" i="3"/>
  <c r="C179" i="3"/>
  <c r="E179" i="3"/>
  <c r="F179" i="3"/>
  <c r="B180" i="3"/>
  <c r="C180" i="3"/>
  <c r="E180" i="3"/>
  <c r="F180" i="3"/>
  <c r="B181" i="3"/>
  <c r="C181" i="3"/>
  <c r="E181" i="3"/>
  <c r="F181" i="3"/>
  <c r="B182" i="3"/>
  <c r="C182" i="3"/>
  <c r="E182" i="3"/>
  <c r="F182" i="3"/>
  <c r="B183" i="3"/>
  <c r="C183" i="3"/>
  <c r="E183" i="3"/>
  <c r="F183" i="3"/>
  <c r="B184" i="3"/>
  <c r="C184" i="3"/>
  <c r="E184" i="3"/>
  <c r="F184" i="3"/>
  <c r="B185" i="3"/>
  <c r="C185" i="3"/>
  <c r="E185" i="3"/>
  <c r="F185" i="3"/>
  <c r="B186" i="3"/>
  <c r="C186" i="3"/>
  <c r="E186" i="3"/>
  <c r="F186" i="3"/>
  <c r="B187" i="3"/>
  <c r="C187" i="3"/>
  <c r="E187" i="3"/>
  <c r="F187" i="3"/>
  <c r="B188" i="3"/>
  <c r="C188" i="3"/>
  <c r="E188" i="3"/>
  <c r="F188" i="3"/>
  <c r="B189" i="3"/>
  <c r="C189" i="3"/>
  <c r="E189" i="3"/>
  <c r="F189" i="3"/>
  <c r="B190" i="3"/>
  <c r="C190" i="3"/>
  <c r="E190" i="3"/>
  <c r="F190" i="3"/>
  <c r="B191" i="3"/>
  <c r="C191" i="3"/>
  <c r="E191" i="3"/>
  <c r="F191" i="3"/>
  <c r="B192" i="3"/>
  <c r="C192" i="3"/>
  <c r="E192" i="3"/>
  <c r="F192" i="3"/>
  <c r="B193" i="3"/>
  <c r="C193" i="3"/>
  <c r="E193" i="3"/>
  <c r="F193" i="3"/>
  <c r="B194" i="3"/>
  <c r="C194" i="3"/>
  <c r="E194" i="3"/>
  <c r="F194" i="3"/>
  <c r="B195" i="3"/>
  <c r="C195" i="3"/>
  <c r="E195" i="3"/>
  <c r="F195" i="3"/>
  <c r="B196" i="3"/>
  <c r="C196" i="3"/>
  <c r="E196" i="3"/>
  <c r="F196" i="3"/>
  <c r="B197" i="3"/>
  <c r="C197" i="3"/>
  <c r="E197" i="3"/>
  <c r="F197" i="3"/>
  <c r="B198" i="3"/>
  <c r="C198" i="3"/>
  <c r="E198" i="3"/>
  <c r="F198" i="3"/>
  <c r="B199" i="3"/>
  <c r="C199" i="3"/>
  <c r="E199" i="3"/>
  <c r="F199" i="3"/>
  <c r="B200" i="3"/>
  <c r="C200" i="3"/>
  <c r="E200" i="3"/>
  <c r="F200" i="3"/>
  <c r="B201" i="3"/>
  <c r="C201" i="3"/>
  <c r="E201" i="3"/>
  <c r="F201" i="3"/>
  <c r="F2" i="3"/>
  <c r="E2" i="3"/>
  <c r="C2" i="3"/>
  <c r="B2" i="3"/>
  <c r="B2" i="2"/>
  <c r="C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" i="2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E23" i="2" s="1"/>
  <c r="F22" i="1"/>
  <c r="F21" i="1"/>
  <c r="F20" i="1"/>
  <c r="F19" i="1"/>
  <c r="F18" i="1"/>
  <c r="F17" i="1"/>
  <c r="E175" i="2" s="1"/>
  <c r="F16" i="1"/>
  <c r="F15" i="1"/>
  <c r="F14" i="1"/>
  <c r="F13" i="1"/>
  <c r="F12" i="1"/>
  <c r="F11" i="1"/>
  <c r="F10" i="1"/>
  <c r="E55" i="2" s="1"/>
  <c r="F9" i="1"/>
  <c r="F8" i="1"/>
  <c r="E143" i="2" s="1"/>
  <c r="F7" i="1"/>
  <c r="E7" i="2" s="1"/>
  <c r="F6" i="1"/>
  <c r="E71" i="2" s="1"/>
  <c r="F5" i="1"/>
  <c r="E39" i="2" s="1"/>
  <c r="F4" i="1"/>
  <c r="E15" i="2" s="1"/>
  <c r="F3" i="1"/>
  <c r="E63" i="2" s="1"/>
  <c r="F2" i="1"/>
  <c r="D2" i="3" s="1"/>
  <c r="D196" i="3" l="1"/>
  <c r="D188" i="3"/>
  <c r="D180" i="3"/>
  <c r="D172" i="3"/>
  <c r="D164" i="3"/>
  <c r="D156" i="3"/>
  <c r="D148" i="3"/>
  <c r="D140" i="3"/>
  <c r="D132" i="3"/>
  <c r="D124" i="3"/>
  <c r="D116" i="3"/>
  <c r="D108" i="3"/>
  <c r="D100" i="3"/>
  <c r="D92" i="3"/>
  <c r="D84" i="3"/>
  <c r="D76" i="3"/>
  <c r="D68" i="3"/>
  <c r="D60" i="3"/>
  <c r="D52" i="3"/>
  <c r="D44" i="3"/>
  <c r="D36" i="3"/>
  <c r="D28" i="3"/>
  <c r="D20" i="3"/>
  <c r="D12" i="3"/>
  <c r="D4" i="3"/>
  <c r="D199" i="3"/>
  <c r="D191" i="3"/>
  <c r="D183" i="3"/>
  <c r="D175" i="3"/>
  <c r="D167" i="3"/>
  <c r="D159" i="3"/>
  <c r="D151" i="3"/>
  <c r="D143" i="3"/>
  <c r="D135" i="3"/>
  <c r="D127" i="3"/>
  <c r="D119" i="3"/>
  <c r="D111" i="3"/>
  <c r="D103" i="3"/>
  <c r="D95" i="3"/>
  <c r="D87" i="3"/>
  <c r="D79" i="3"/>
  <c r="D71" i="3"/>
  <c r="D63" i="3"/>
  <c r="D55" i="3"/>
  <c r="D47" i="3"/>
  <c r="D39" i="3"/>
  <c r="D31" i="3"/>
  <c r="D23" i="3"/>
  <c r="D15" i="3"/>
  <c r="D7" i="3"/>
  <c r="D194" i="3"/>
  <c r="D186" i="3"/>
  <c r="D178" i="3"/>
  <c r="D170" i="3"/>
  <c r="D162" i="3"/>
  <c r="D154" i="3"/>
  <c r="D146" i="3"/>
  <c r="D138" i="3"/>
  <c r="D130" i="3"/>
  <c r="D122" i="3"/>
  <c r="D114" i="3"/>
  <c r="D106" i="3"/>
  <c r="D98" i="3"/>
  <c r="D90" i="3"/>
  <c r="D82" i="3"/>
  <c r="D74" i="3"/>
  <c r="D66" i="3"/>
  <c r="D58" i="3"/>
  <c r="D50" i="3"/>
  <c r="D42" i="3"/>
  <c r="D34" i="3"/>
  <c r="D26" i="3"/>
  <c r="D18" i="3"/>
  <c r="D10" i="3"/>
  <c r="D197" i="3"/>
  <c r="D189" i="3"/>
  <c r="D181" i="3"/>
  <c r="D173" i="3"/>
  <c r="D165" i="3"/>
  <c r="D157" i="3"/>
  <c r="D149" i="3"/>
  <c r="D141" i="3"/>
  <c r="D133" i="3"/>
  <c r="D125" i="3"/>
  <c r="D117" i="3"/>
  <c r="D109" i="3"/>
  <c r="D101" i="3"/>
  <c r="D93" i="3"/>
  <c r="D85" i="3"/>
  <c r="D77" i="3"/>
  <c r="D69" i="3"/>
  <c r="D61" i="3"/>
  <c r="D53" i="3"/>
  <c r="D45" i="3"/>
  <c r="D37" i="3"/>
  <c r="D29" i="3"/>
  <c r="D21" i="3"/>
  <c r="D13" i="3"/>
  <c r="D5" i="3"/>
  <c r="D200" i="3"/>
  <c r="D192" i="3"/>
  <c r="D184" i="3"/>
  <c r="D176" i="3"/>
  <c r="D168" i="3"/>
  <c r="D160" i="3"/>
  <c r="D152" i="3"/>
  <c r="D144" i="3"/>
  <c r="D136" i="3"/>
  <c r="D128" i="3"/>
  <c r="D120" i="3"/>
  <c r="D112" i="3"/>
  <c r="D104" i="3"/>
  <c r="D96" i="3"/>
  <c r="D88" i="3"/>
  <c r="D80" i="3"/>
  <c r="D72" i="3"/>
  <c r="D64" i="3"/>
  <c r="D56" i="3"/>
  <c r="D48" i="3"/>
  <c r="D40" i="3"/>
  <c r="D32" i="3"/>
  <c r="D24" i="3"/>
  <c r="D16" i="3"/>
  <c r="D8" i="3"/>
  <c r="D195" i="3"/>
  <c r="D187" i="3"/>
  <c r="D179" i="3"/>
  <c r="D171" i="3"/>
  <c r="D163" i="3"/>
  <c r="D155" i="3"/>
  <c r="D147" i="3"/>
  <c r="D139" i="3"/>
  <c r="D131" i="3"/>
  <c r="D123" i="3"/>
  <c r="D115" i="3"/>
  <c r="D107" i="3"/>
  <c r="D99" i="3"/>
  <c r="D91" i="3"/>
  <c r="D83" i="3"/>
  <c r="D75" i="3"/>
  <c r="D67" i="3"/>
  <c r="D59" i="3"/>
  <c r="D51" i="3"/>
  <c r="D43" i="3"/>
  <c r="D35" i="3"/>
  <c r="D27" i="3"/>
  <c r="D19" i="3"/>
  <c r="D11" i="3"/>
  <c r="D3" i="3"/>
  <c r="D198" i="3"/>
  <c r="D190" i="3"/>
  <c r="D182" i="3"/>
  <c r="D174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70" i="3"/>
  <c r="D62" i="3"/>
  <c r="D54" i="3"/>
  <c r="D46" i="3"/>
  <c r="D38" i="3"/>
  <c r="D30" i="3"/>
  <c r="D22" i="3"/>
  <c r="D14" i="3"/>
  <c r="D6" i="3"/>
  <c r="D201" i="3"/>
  <c r="D193" i="3"/>
  <c r="D185" i="3"/>
  <c r="D177" i="3"/>
  <c r="D169" i="3"/>
  <c r="D161" i="3"/>
  <c r="D153" i="3"/>
  <c r="D145" i="3"/>
  <c r="D137" i="3"/>
  <c r="D129" i="3"/>
  <c r="D121" i="3"/>
  <c r="D113" i="3"/>
  <c r="D105" i="3"/>
  <c r="D97" i="3"/>
  <c r="D89" i="3"/>
  <c r="D81" i="3"/>
  <c r="D73" i="3"/>
  <c r="D65" i="3"/>
  <c r="D57" i="3"/>
  <c r="D49" i="3"/>
  <c r="D41" i="3"/>
  <c r="D33" i="3"/>
  <c r="D25" i="3"/>
  <c r="D17" i="3"/>
  <c r="D9" i="3"/>
  <c r="E194" i="2"/>
  <c r="E116" i="2"/>
  <c r="E115" i="2"/>
  <c r="E59" i="2"/>
  <c r="E100" i="2"/>
  <c r="E173" i="2"/>
  <c r="E37" i="2"/>
  <c r="E166" i="2"/>
  <c r="E148" i="2"/>
  <c r="E131" i="2"/>
  <c r="E149" i="2"/>
  <c r="E101" i="2"/>
  <c r="E35" i="2"/>
  <c r="E36" i="2"/>
  <c r="E14" i="2"/>
  <c r="E189" i="2"/>
  <c r="E134" i="2"/>
  <c r="E99" i="2"/>
  <c r="E146" i="2"/>
  <c r="E187" i="2"/>
  <c r="E133" i="2"/>
  <c r="E78" i="2"/>
  <c r="E179" i="2"/>
  <c r="E132" i="2"/>
  <c r="E67" i="2"/>
  <c r="E165" i="2"/>
  <c r="E110" i="2"/>
  <c r="E98" i="2"/>
  <c r="E76" i="2"/>
  <c r="E52" i="2"/>
  <c r="E34" i="2"/>
  <c r="E6" i="2"/>
  <c r="E186" i="2"/>
  <c r="E163" i="2"/>
  <c r="E142" i="2"/>
  <c r="E130" i="2"/>
  <c r="E109" i="2"/>
  <c r="E93" i="2"/>
  <c r="E75" i="2"/>
  <c r="E46" i="2"/>
  <c r="E30" i="2"/>
  <c r="E5" i="2"/>
  <c r="E190" i="2"/>
  <c r="E77" i="2"/>
  <c r="E12" i="2"/>
  <c r="E198" i="2"/>
  <c r="E182" i="2"/>
  <c r="E158" i="2"/>
  <c r="E140" i="2"/>
  <c r="E126" i="2"/>
  <c r="E107" i="2"/>
  <c r="E92" i="2"/>
  <c r="E70" i="2"/>
  <c r="E45" i="2"/>
  <c r="E29" i="2"/>
  <c r="E4" i="2"/>
  <c r="E197" i="2"/>
  <c r="E157" i="2"/>
  <c r="E139" i="2"/>
  <c r="E125" i="2"/>
  <c r="E106" i="2"/>
  <c r="E86" i="2"/>
  <c r="E44" i="2"/>
  <c r="E22" i="2"/>
  <c r="E54" i="2"/>
  <c r="E195" i="2"/>
  <c r="E178" i="2"/>
  <c r="E155" i="2"/>
  <c r="E138" i="2"/>
  <c r="E124" i="2"/>
  <c r="E102" i="2"/>
  <c r="E85" i="2"/>
  <c r="E62" i="2"/>
  <c r="E38" i="2"/>
  <c r="E21" i="2"/>
  <c r="E174" i="2"/>
  <c r="E150" i="2"/>
  <c r="E117" i="2"/>
  <c r="E82" i="2"/>
  <c r="E61" i="2"/>
  <c r="E20" i="2"/>
  <c r="E118" i="2"/>
  <c r="E69" i="2"/>
  <c r="E13" i="2"/>
  <c r="E188" i="2"/>
  <c r="E172" i="2"/>
  <c r="E156" i="2"/>
  <c r="E84" i="2"/>
  <c r="E68" i="2"/>
  <c r="E60" i="2"/>
  <c r="E28" i="2"/>
  <c r="E147" i="2"/>
  <c r="E123" i="2"/>
  <c r="E91" i="2"/>
  <c r="E19" i="2"/>
  <c r="E154" i="2"/>
  <c r="E90" i="2"/>
  <c r="E10" i="2"/>
  <c r="E201" i="2"/>
  <c r="E193" i="2"/>
  <c r="E185" i="2"/>
  <c r="E177" i="2"/>
  <c r="E169" i="2"/>
  <c r="E161" i="2"/>
  <c r="E153" i="2"/>
  <c r="E145" i="2"/>
  <c r="E137" i="2"/>
  <c r="E129" i="2"/>
  <c r="E121" i="2"/>
  <c r="E113" i="2"/>
  <c r="E105" i="2"/>
  <c r="E97" i="2"/>
  <c r="E89" i="2"/>
  <c r="E81" i="2"/>
  <c r="E73" i="2"/>
  <c r="E65" i="2"/>
  <c r="E57" i="2"/>
  <c r="E49" i="2"/>
  <c r="E41" i="2"/>
  <c r="E33" i="2"/>
  <c r="E25" i="2"/>
  <c r="E17" i="2"/>
  <c r="E9" i="2"/>
  <c r="E94" i="2"/>
  <c r="E196" i="2"/>
  <c r="E180" i="2"/>
  <c r="E164" i="2"/>
  <c r="E108" i="2"/>
  <c r="E43" i="2"/>
  <c r="E27" i="2"/>
  <c r="E3" i="2"/>
  <c r="E170" i="2"/>
  <c r="E122" i="2"/>
  <c r="E74" i="2"/>
  <c r="E58" i="2"/>
  <c r="E50" i="2"/>
  <c r="E26" i="2"/>
  <c r="E2" i="2"/>
  <c r="E200" i="2"/>
  <c r="E192" i="2"/>
  <c r="E184" i="2"/>
  <c r="E176" i="2"/>
  <c r="E168" i="2"/>
  <c r="E160" i="2"/>
  <c r="E152" i="2"/>
  <c r="E144" i="2"/>
  <c r="E136" i="2"/>
  <c r="E128" i="2"/>
  <c r="E120" i="2"/>
  <c r="E112" i="2"/>
  <c r="E104" i="2"/>
  <c r="E96" i="2"/>
  <c r="E88" i="2"/>
  <c r="E80" i="2"/>
  <c r="E72" i="2"/>
  <c r="E64" i="2"/>
  <c r="E56" i="2"/>
  <c r="E48" i="2"/>
  <c r="E40" i="2"/>
  <c r="E32" i="2"/>
  <c r="E24" i="2"/>
  <c r="E16" i="2"/>
  <c r="E8" i="2"/>
  <c r="E181" i="2"/>
  <c r="E141" i="2"/>
  <c r="E53" i="2"/>
  <c r="E171" i="2"/>
  <c r="E83" i="2"/>
  <c r="E51" i="2"/>
  <c r="E11" i="2"/>
  <c r="E162" i="2"/>
  <c r="E114" i="2"/>
  <c r="E66" i="2"/>
  <c r="E42" i="2"/>
  <c r="E18" i="2"/>
  <c r="E199" i="2"/>
  <c r="E191" i="2"/>
  <c r="E183" i="2"/>
  <c r="E167" i="2"/>
  <c r="E159" i="2"/>
  <c r="E151" i="2"/>
  <c r="E135" i="2"/>
  <c r="E127" i="2"/>
  <c r="E119" i="2"/>
  <c r="E111" i="2"/>
  <c r="E103" i="2"/>
  <c r="E95" i="2"/>
  <c r="E87" i="2"/>
  <c r="E79" i="2"/>
  <c r="E47" i="2"/>
  <c r="E31" i="2"/>
</calcChain>
</file>

<file path=xl/sharedStrings.xml><?xml version="1.0" encoding="utf-8"?>
<sst xmlns="http://schemas.openxmlformats.org/spreadsheetml/2006/main" count="6467" uniqueCount="406">
  <si>
    <t>Product ID</t>
  </si>
  <si>
    <t>Product Name</t>
  </si>
  <si>
    <t>Supplier Name</t>
  </si>
  <si>
    <t>Purchase Qty (KG)</t>
  </si>
  <si>
    <t>Unit Cost (USD)</t>
  </si>
  <si>
    <t>Batch ID</t>
  </si>
  <si>
    <t>Production Line</t>
  </si>
  <si>
    <t>Cycle Time (Days)</t>
  </si>
  <si>
    <t>Units Sold</t>
  </si>
  <si>
    <t>Tracking ID</t>
  </si>
  <si>
    <t>Carrier</t>
  </si>
  <si>
    <t>Destination Region</t>
  </si>
  <si>
    <t>Dispatch Date</t>
  </si>
  <si>
    <t>Delivery Status</t>
  </si>
  <si>
    <t>P010</t>
  </si>
  <si>
    <t>CMOS Image Sensor (CIS)</t>
  </si>
  <si>
    <t>Shenghe Resources</t>
  </si>
  <si>
    <t>Line_B2</t>
  </si>
  <si>
    <t>TRK-73630</t>
  </si>
  <si>
    <t>SF Express</t>
  </si>
  <si>
    <t>Asia-Pacific</t>
  </si>
  <si>
    <t>2026-02-13</t>
  </si>
  <si>
    <t>Pending Quality Release</t>
  </si>
  <si>
    <t>P002</t>
  </si>
  <si>
    <t>GaAs RF Power Amp</t>
  </si>
  <si>
    <t>Sumitomo Electric</t>
  </si>
  <si>
    <t>Line_B3</t>
  </si>
  <si>
    <t>TRK-62939</t>
  </si>
  <si>
    <t>DB Schenker</t>
  </si>
  <si>
    <t>2026-01-10</t>
  </si>
  <si>
    <t>P008</t>
  </si>
  <si>
    <t>OLED Display Driver IC</t>
  </si>
  <si>
    <t>Formosa Sumco</t>
  </si>
  <si>
    <t>Line_A3</t>
  </si>
  <si>
    <t>TRK-97678</t>
  </si>
  <si>
    <t>North America</t>
  </si>
  <si>
    <t>2026-04-23</t>
  </si>
  <si>
    <t>P004</t>
  </si>
  <si>
    <t>Automotive MCU (16-bit)</t>
  </si>
  <si>
    <t>GlobalWafers</t>
  </si>
  <si>
    <t>Line_C1</t>
  </si>
  <si>
    <t>TRK-66595</t>
  </si>
  <si>
    <t>FedEx Cargo</t>
  </si>
  <si>
    <t>Europe</t>
  </si>
  <si>
    <t>In Transit</t>
  </si>
  <si>
    <t>P007</t>
  </si>
  <si>
    <t>IGBT Power Module</t>
  </si>
  <si>
    <t>Siltronic</t>
  </si>
  <si>
    <t>Line_C2</t>
  </si>
  <si>
    <t>TRK-99582</t>
  </si>
  <si>
    <t>Maersk Line</t>
  </si>
  <si>
    <t>2026-01-12</t>
  </si>
  <si>
    <t>Delivered</t>
  </si>
  <si>
    <t>P001</t>
  </si>
  <si>
    <t>Silicon Wafer 300mm</t>
  </si>
  <si>
    <t>Hemlock Semiconductor</t>
  </si>
  <si>
    <t>Line_A1</t>
  </si>
  <si>
    <t>TRK-28391</t>
  </si>
  <si>
    <t>2026-04-30</t>
  </si>
  <si>
    <t>P009</t>
  </si>
  <si>
    <t>GaN Fast Charger IC</t>
  </si>
  <si>
    <t>Entegris</t>
  </si>
  <si>
    <t>Line_D2</t>
  </si>
  <si>
    <t>TRK-82133</t>
  </si>
  <si>
    <t>2026-03-02</t>
  </si>
  <si>
    <t>TRK-78732</t>
  </si>
  <si>
    <t>2026-02-02</t>
  </si>
  <si>
    <t>P005</t>
  </si>
  <si>
    <t>AI Accelerator GPU</t>
  </si>
  <si>
    <t>Shin-Etsu Handotai</t>
  </si>
  <si>
    <t>Line_D1</t>
  </si>
  <si>
    <t>TRK-45814</t>
  </si>
  <si>
    <t>2026-03-13</t>
  </si>
  <si>
    <t>Delayed at Customs</t>
  </si>
  <si>
    <t>TRK-38888</t>
  </si>
  <si>
    <t>Nippon Express</t>
  </si>
  <si>
    <t>2026-01-29</t>
  </si>
  <si>
    <t>TRK-92104</t>
  </si>
  <si>
    <t>2026-01-18</t>
  </si>
  <si>
    <t>TRK-15309</t>
  </si>
  <si>
    <t>2026-03-17</t>
  </si>
  <si>
    <t>Dispatched</t>
  </si>
  <si>
    <t>TRK-91062</t>
  </si>
  <si>
    <t>2026-01-03</t>
  </si>
  <si>
    <t>TRK-91877</t>
  </si>
  <si>
    <t>South America</t>
  </si>
  <si>
    <t>2026-02-14</t>
  </si>
  <si>
    <t>TRK-40453</t>
  </si>
  <si>
    <t>2026-03-26</t>
  </si>
  <si>
    <t>P003</t>
  </si>
  <si>
    <t>NAND Flash 3D 128-Layer</t>
  </si>
  <si>
    <t>SK Siltron</t>
  </si>
  <si>
    <t>Line_A2</t>
  </si>
  <si>
    <t>TRK-99575</t>
  </si>
  <si>
    <t>2026-01-15</t>
  </si>
  <si>
    <t>TRK-84804</t>
  </si>
  <si>
    <t>2026-03-20</t>
  </si>
  <si>
    <t>TRK-40827</t>
  </si>
  <si>
    <t>TRK-36265</t>
  </si>
  <si>
    <t>2026-03-19</t>
  </si>
  <si>
    <t>TRK-78902</t>
  </si>
  <si>
    <t>UPS Worldwide</t>
  </si>
  <si>
    <t>2026-04-08</t>
  </si>
  <si>
    <t>TRK-49560</t>
  </si>
  <si>
    <t>DHL Express</t>
  </si>
  <si>
    <t>2026-03-27</t>
  </si>
  <si>
    <t>P006</t>
  </si>
  <si>
    <t>MEMS Pressure Sensor</t>
  </si>
  <si>
    <t>Soitec</t>
  </si>
  <si>
    <t>Line_B1</t>
  </si>
  <si>
    <t>TRK-74078</t>
  </si>
  <si>
    <t>2026-04-29</t>
  </si>
  <si>
    <t>TRK-73953</t>
  </si>
  <si>
    <t>2026-02-24</t>
  </si>
  <si>
    <t>TRK-72909</t>
  </si>
  <si>
    <t>2026-04-10</t>
  </si>
  <si>
    <t>TRK-31568</t>
  </si>
  <si>
    <t>2026-03-14</t>
  </si>
  <si>
    <t>TRK-86578</t>
  </si>
  <si>
    <t>2026-01-23</t>
  </si>
  <si>
    <t>TRK-16698</t>
  </si>
  <si>
    <t>2026-04-17</t>
  </si>
  <si>
    <t>TRK-17806</t>
  </si>
  <si>
    <t>2026-04-15</t>
  </si>
  <si>
    <t>TRK-63665</t>
  </si>
  <si>
    <t>2026-02-12</t>
  </si>
  <si>
    <t>TRK-65344</t>
  </si>
  <si>
    <t>TRK-23713</t>
  </si>
  <si>
    <t>2026-04-27</t>
  </si>
  <si>
    <t>TRK-33205</t>
  </si>
  <si>
    <t>2026-04-22</t>
  </si>
  <si>
    <t>TRK-29719</t>
  </si>
  <si>
    <t>2026-01-24</t>
  </si>
  <si>
    <t>TRK-15090</t>
  </si>
  <si>
    <t>2026-03-05</t>
  </si>
  <si>
    <t>TRK-45990</t>
  </si>
  <si>
    <t>TRK-90074</t>
  </si>
  <si>
    <t>TRK-13099</t>
  </si>
  <si>
    <t>TRK-38972</t>
  </si>
  <si>
    <t>2026-03-10</t>
  </si>
  <si>
    <t>TRK-53979</t>
  </si>
  <si>
    <t>TRK-24437</t>
  </si>
  <si>
    <t>2026-04-13</t>
  </si>
  <si>
    <t>TRK-99272</t>
  </si>
  <si>
    <t>TRK-15828</t>
  </si>
  <si>
    <t>TRK-20240</t>
  </si>
  <si>
    <t>2026-03-08</t>
  </si>
  <si>
    <t>TRK-26123</t>
  </si>
  <si>
    <t>2026-03-28</t>
  </si>
  <si>
    <t>TRK-26086</t>
  </si>
  <si>
    <t>2026-03-21</t>
  </si>
  <si>
    <t>TRK-68292</t>
  </si>
  <si>
    <t>2026-05-01</t>
  </si>
  <si>
    <t>TRK-47359</t>
  </si>
  <si>
    <t>2026-03-23</t>
  </si>
  <si>
    <t>TRK-30204</t>
  </si>
  <si>
    <t>2026-04-16</t>
  </si>
  <si>
    <t>TRK-81718</t>
  </si>
  <si>
    <t>2026-01-27</t>
  </si>
  <si>
    <t>TRK-64217</t>
  </si>
  <si>
    <t>TRK-33304</t>
  </si>
  <si>
    <t>2026-02-03</t>
  </si>
  <si>
    <t>TRK-46711</t>
  </si>
  <si>
    <t>2026-02-21</t>
  </si>
  <si>
    <t>TRK-75054</t>
  </si>
  <si>
    <t>2026-01-04</t>
  </si>
  <si>
    <t>TRK-46099</t>
  </si>
  <si>
    <t>2026-02-23</t>
  </si>
  <si>
    <t>TRK-76651</t>
  </si>
  <si>
    <t>2026-01-05</t>
  </si>
  <si>
    <t>TRK-97808</t>
  </si>
  <si>
    <t>2026-02-10</t>
  </si>
  <si>
    <t>TRK-81290</t>
  </si>
  <si>
    <t>2026-01-09</t>
  </si>
  <si>
    <t>TRK-81233</t>
  </si>
  <si>
    <t>TRK-61552</t>
  </si>
  <si>
    <t>2026-03-04</t>
  </si>
  <si>
    <t>TRK-36034</t>
  </si>
  <si>
    <t>2026-04-07</t>
  </si>
  <si>
    <t>TRK-85010</t>
  </si>
  <si>
    <t>2026-03-06</t>
  </si>
  <si>
    <t>TRK-30839</t>
  </si>
  <si>
    <t>2026-03-07</t>
  </si>
  <si>
    <t>TRK-58293</t>
  </si>
  <si>
    <t>TRK-64672</t>
  </si>
  <si>
    <t>TRK-39809</t>
  </si>
  <si>
    <t>TRK-34584</t>
  </si>
  <si>
    <t>2026-01-22</t>
  </si>
  <si>
    <t>TRK-93598</t>
  </si>
  <si>
    <t>2026-01-30</t>
  </si>
  <si>
    <t>TRK-79527</t>
  </si>
  <si>
    <t>2026-02-25</t>
  </si>
  <si>
    <t>TRK-34494</t>
  </si>
  <si>
    <t>TRK-97030</t>
  </si>
  <si>
    <t>TRK-55025</t>
  </si>
  <si>
    <t>2026-01-25</t>
  </si>
  <si>
    <t>TRK-42462</t>
  </si>
  <si>
    <t>2026-02-16</t>
  </si>
  <si>
    <t>TRK-81687</t>
  </si>
  <si>
    <t>TRK-55809</t>
  </si>
  <si>
    <t>TRK-10265</t>
  </si>
  <si>
    <t>2026-02-04</t>
  </si>
  <si>
    <t>TRK-97389</t>
  </si>
  <si>
    <t>TRK-61219</t>
  </si>
  <si>
    <t>2026-02-08</t>
  </si>
  <si>
    <t>TRK-57669</t>
  </si>
  <si>
    <t>2026-02-18</t>
  </si>
  <si>
    <t>TRK-15780</t>
  </si>
  <si>
    <t>2026-02-01</t>
  </si>
  <si>
    <t>TRK-28077</t>
  </si>
  <si>
    <t>TRK-68602</t>
  </si>
  <si>
    <t>2026-01-17</t>
  </si>
  <si>
    <t>TRK-66475</t>
  </si>
  <si>
    <t>2026-04-05</t>
  </si>
  <si>
    <t>TRK-74388</t>
  </si>
  <si>
    <t>2026-04-25</t>
  </si>
  <si>
    <t>TRK-44479</t>
  </si>
  <si>
    <t>2026-02-22</t>
  </si>
  <si>
    <t>TRK-82963</t>
  </si>
  <si>
    <t>2026-01-07</t>
  </si>
  <si>
    <t>TRK-33950</t>
  </si>
  <si>
    <t>TRK-41922</t>
  </si>
  <si>
    <t>TRK-77556</t>
  </si>
  <si>
    <t>TRK-16805</t>
  </si>
  <si>
    <t>TRK-71563</t>
  </si>
  <si>
    <t>2026-01-16</t>
  </si>
  <si>
    <t>TRK-24124</t>
  </si>
  <si>
    <t>TRK-34840</t>
  </si>
  <si>
    <t>2026-01-13</t>
  </si>
  <si>
    <t>TRK-90410</t>
  </si>
  <si>
    <t>2026-04-12</t>
  </si>
  <si>
    <t>TRK-49905</t>
  </si>
  <si>
    <t>TRK-63175</t>
  </si>
  <si>
    <t>2026-03-03</t>
  </si>
  <si>
    <t>TRK-52913</t>
  </si>
  <si>
    <t>TRK-33076</t>
  </si>
  <si>
    <t>TRK-44413</t>
  </si>
  <si>
    <t>2026-03-16</t>
  </si>
  <si>
    <t>TRK-78425</t>
  </si>
  <si>
    <t>TRK-55229</t>
  </si>
  <si>
    <t>2026-03-30</t>
  </si>
  <si>
    <t>TRK-57909</t>
  </si>
  <si>
    <t>TRK-48668</t>
  </si>
  <si>
    <t>TRK-50060</t>
  </si>
  <si>
    <t>2026-01-21</t>
  </si>
  <si>
    <t>TRK-64013</t>
  </si>
  <si>
    <t>2026-02-27</t>
  </si>
  <si>
    <t>TRK-18629</t>
  </si>
  <si>
    <t>TRK-63004</t>
  </si>
  <si>
    <t>TRK-74976</t>
  </si>
  <si>
    <t>2026-04-28</t>
  </si>
  <si>
    <t>TRK-20613</t>
  </si>
  <si>
    <t>TRK-40300</t>
  </si>
  <si>
    <t>TRK-44486</t>
  </si>
  <si>
    <t>2026-02-05</t>
  </si>
  <si>
    <t>TRK-20433</t>
  </si>
  <si>
    <t>TRK-36409</t>
  </si>
  <si>
    <t>2026-04-09</t>
  </si>
  <si>
    <t>TRK-95947</t>
  </si>
  <si>
    <t>2026-04-26</t>
  </si>
  <si>
    <t>TRK-73243</t>
  </si>
  <si>
    <t>2026-04-20</t>
  </si>
  <si>
    <t>TRK-26286</t>
  </si>
  <si>
    <t>TRK-81756</t>
  </si>
  <si>
    <t>2026-03-31</t>
  </si>
  <si>
    <t>TRK-94760</t>
  </si>
  <si>
    <t>2026-02-09</t>
  </si>
  <si>
    <t>TRK-62771</t>
  </si>
  <si>
    <t>2026-02-17</t>
  </si>
  <si>
    <t>TRK-44527</t>
  </si>
  <si>
    <t>TRK-47431</t>
  </si>
  <si>
    <t>TRK-42005</t>
  </si>
  <si>
    <t>TRK-20408</t>
  </si>
  <si>
    <t>2026-01-06</t>
  </si>
  <si>
    <t>TRK-53192</t>
  </si>
  <si>
    <t>TRK-74966</t>
  </si>
  <si>
    <t>2026-02-20</t>
  </si>
  <si>
    <t>TRK-74218</t>
  </si>
  <si>
    <t>2026-02-11</t>
  </si>
  <si>
    <t>TRK-20733</t>
  </si>
  <si>
    <t>TRK-38642</t>
  </si>
  <si>
    <t>2026-02-19</t>
  </si>
  <si>
    <t>TRK-71060</t>
  </si>
  <si>
    <t>TRK-85602</t>
  </si>
  <si>
    <t>TRK-89217</t>
  </si>
  <si>
    <t>TRK-71458</t>
  </si>
  <si>
    <t>TRK-34982</t>
  </si>
  <si>
    <t>TRK-80099</t>
  </si>
  <si>
    <t>TRK-45608</t>
  </si>
  <si>
    <t>TRK-14253</t>
  </si>
  <si>
    <t>TRK-47315</t>
  </si>
  <si>
    <t>TRK-69427</t>
  </si>
  <si>
    <t>TRK-83358</t>
  </si>
  <si>
    <t>2026-03-24</t>
  </si>
  <si>
    <t>TRK-93175</t>
  </si>
  <si>
    <t>2026-04-01</t>
  </si>
  <si>
    <t>TRK-31465</t>
  </si>
  <si>
    <t>2026-02-07</t>
  </si>
  <si>
    <t>TRK-26830</t>
  </si>
  <si>
    <t>2026-04-21</t>
  </si>
  <si>
    <t>TRK-14342</t>
  </si>
  <si>
    <t>TRK-46950</t>
  </si>
  <si>
    <t>TRK-86891</t>
  </si>
  <si>
    <t>2026-03-11</t>
  </si>
  <si>
    <t>TRK-89100</t>
  </si>
  <si>
    <t>TRK-13453</t>
  </si>
  <si>
    <t>TRK-94431</t>
  </si>
  <si>
    <t>TRK-84049</t>
  </si>
  <si>
    <t>TRK-94197</t>
  </si>
  <si>
    <t>2026-01-14</t>
  </si>
  <si>
    <t>TRK-86325</t>
  </si>
  <si>
    <t>2026-04-04</t>
  </si>
  <si>
    <t>TRK-14129</t>
  </si>
  <si>
    <t>TRK-77880</t>
  </si>
  <si>
    <t>TRK-23783</t>
  </si>
  <si>
    <t>TRK-50530</t>
  </si>
  <si>
    <t>TRK-78104</t>
  </si>
  <si>
    <t>2026-01-08</t>
  </si>
  <si>
    <t>TRK-37299</t>
  </si>
  <si>
    <t>TRK-46967</t>
  </si>
  <si>
    <t>TRK-10511</t>
  </si>
  <si>
    <t>TRK-24820</t>
  </si>
  <si>
    <t>TRK-17254</t>
  </si>
  <si>
    <t>2026-04-14</t>
  </si>
  <si>
    <t>TRK-47463</t>
  </si>
  <si>
    <t>2026-04-06</t>
  </si>
  <si>
    <t>TRK-26415</t>
  </si>
  <si>
    <t>2026-03-09</t>
  </si>
  <si>
    <t>TRK-75980</t>
  </si>
  <si>
    <t>TRK-90292</t>
  </si>
  <si>
    <t>TRK-26544</t>
  </si>
  <si>
    <t>2026-04-02</t>
  </si>
  <si>
    <t>TRK-41190</t>
  </si>
  <si>
    <t>TRK-56788</t>
  </si>
  <si>
    <t>TRK-61597</t>
  </si>
  <si>
    <t>TRK-62658</t>
  </si>
  <si>
    <t>TRK-91701</t>
  </si>
  <si>
    <t>TRK-32163</t>
  </si>
  <si>
    <t>TRK-76125</t>
  </si>
  <si>
    <t>TRK-78662</t>
  </si>
  <si>
    <t>TRK-99213</t>
  </si>
  <si>
    <t>TRK-20953</t>
  </si>
  <si>
    <t>TRK-84719</t>
  </si>
  <si>
    <t>TRK-92755</t>
  </si>
  <si>
    <t>TRK-21000</t>
  </si>
  <si>
    <t>2026-03-01</t>
  </si>
  <si>
    <t>TRK-50833</t>
  </si>
  <si>
    <t>TRK-87201</t>
  </si>
  <si>
    <t>2026-03-12</t>
  </si>
  <si>
    <t>TRK-48747</t>
  </si>
  <si>
    <t>TRK-33188</t>
  </si>
  <si>
    <t>TRK-84611</t>
  </si>
  <si>
    <t>TRK-18936</t>
  </si>
  <si>
    <t>TRK-40751</t>
  </si>
  <si>
    <t>2026-04-24</t>
  </si>
  <si>
    <t>TRK-75520</t>
  </si>
  <si>
    <t>TRK-99265</t>
  </si>
  <si>
    <t>TRK-64999</t>
  </si>
  <si>
    <t>2026-01-02</t>
  </si>
  <si>
    <t>TRK-59689</t>
  </si>
  <si>
    <t>TRK-95789</t>
  </si>
  <si>
    <t>TRK-77400</t>
  </si>
  <si>
    <t>2026-02-15</t>
  </si>
  <si>
    <t>TRK-88581</t>
  </si>
  <si>
    <t>TRK-49875</t>
  </si>
  <si>
    <t>TRK-48945</t>
  </si>
  <si>
    <t>TRK-82741</t>
  </si>
  <si>
    <t>TRK-77289</t>
  </si>
  <si>
    <t>TRK-70684</t>
  </si>
  <si>
    <t>TRK-69663</t>
  </si>
  <si>
    <t>TRK-68541</t>
  </si>
  <si>
    <t>TRK-15825</t>
  </si>
  <si>
    <t>Cost Price (USD)</t>
  </si>
  <si>
    <t>Total  Amount (USD)</t>
  </si>
  <si>
    <t>Portable Way</t>
  </si>
  <si>
    <t>Seaways</t>
  </si>
  <si>
    <t>Airways</t>
  </si>
  <si>
    <t>India</t>
  </si>
  <si>
    <t>Roadways</t>
  </si>
  <si>
    <t>Total Sales (USD)</t>
  </si>
  <si>
    <t>Purchase Qty</t>
  </si>
  <si>
    <t>Total Amount</t>
  </si>
  <si>
    <t>BAR-010</t>
  </si>
  <si>
    <t>BAR-002</t>
  </si>
  <si>
    <t>BAR-009</t>
  </si>
  <si>
    <t>BAR-007</t>
  </si>
  <si>
    <t>BAR-006</t>
  </si>
  <si>
    <t>BAR-003</t>
  </si>
  <si>
    <t>BAR-008</t>
  </si>
  <si>
    <t>BAR-001</t>
  </si>
  <si>
    <t>BAR-005</t>
  </si>
  <si>
    <t>BAR-004</t>
  </si>
  <si>
    <t>Po1o</t>
  </si>
  <si>
    <t>MEMS Pressure Sens@r</t>
  </si>
  <si>
    <t>$K Siltron</t>
  </si>
  <si>
    <t>####</t>
  </si>
  <si>
    <t>Shipping Status</t>
  </si>
  <si>
    <t>Pending</t>
  </si>
  <si>
    <t>Selling Price (USD)</t>
  </si>
  <si>
    <t>Customer Name</t>
  </si>
  <si>
    <t>Sandhiya</t>
  </si>
  <si>
    <t>Suba</t>
  </si>
  <si>
    <t>Prakalya</t>
  </si>
  <si>
    <t>Anu</t>
  </si>
  <si>
    <t xml:space="preserve">Purchase Qty </t>
  </si>
  <si>
    <t>Barath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</si>
</sst>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94DC-7CA9-48C9-9D3B-83DF4683A5C4}">
  <dimension ref="A1:R201"/>
  <sheetViews>
    <sheetView topLeftCell="B1" zoomScale="96" workbookViewId="0">
      <selection activeCell="C8" sqref="C8"/>
    </sheetView>
  </sheetViews>
  <sheetFormatPr defaultRowHeight="15" x14ac:dyDescent="0.25"/>
  <cols>
    <col min="1" max="1" width="15" customWidth="1"/>
    <col min="2" max="2" width="23" bestFit="1" customWidth="1"/>
    <col min="3" max="3" width="22.28515625" customWidth="1"/>
    <col min="4" max="4" width="12.42578125" customWidth="1"/>
    <col min="5" max="5" width="10.7109375" customWidth="1"/>
    <col min="6" max="6" width="15.42578125" bestFit="1" customWidth="1"/>
    <col min="7" max="7" width="13" customWidth="1"/>
    <col min="9" max="9" width="7.85546875" bestFit="1" customWidth="1"/>
    <col min="10" max="10" width="8.140625" bestFit="1" customWidth="1"/>
    <col min="11" max="11" width="8.85546875" bestFit="1" customWidth="1"/>
    <col min="12" max="12" width="15.42578125" bestFit="1" customWidth="1"/>
    <col min="13" max="13" width="10" bestFit="1" customWidth="1"/>
    <col min="14" max="14" width="14.42578125" bestFit="1" customWidth="1"/>
    <col min="15" max="15" width="13.28515625" bestFit="1" customWidth="1"/>
    <col min="16" max="16" width="9.42578125" bestFit="1" customWidth="1"/>
    <col min="17" max="17" width="10.42578125" bestFit="1" customWidth="1"/>
    <col min="18" max="18" width="21.42578125" bestFit="1" customWidth="1"/>
  </cols>
  <sheetData>
    <row r="1" spans="1:18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372</v>
      </c>
      <c r="L1" s="1" t="s">
        <v>379</v>
      </c>
      <c r="M1" s="1" t="s">
        <v>9</v>
      </c>
      <c r="N1" s="1" t="s">
        <v>10</v>
      </c>
      <c r="O1" s="1" t="s">
        <v>11</v>
      </c>
      <c r="P1" s="1" t="s">
        <v>374</v>
      </c>
      <c r="Q1" s="1" t="s">
        <v>12</v>
      </c>
      <c r="R1" s="1" t="s">
        <v>13</v>
      </c>
    </row>
    <row r="2" spans="1:18" x14ac:dyDescent="0.25">
      <c r="A2" s="2" t="s">
        <v>392</v>
      </c>
      <c r="B2" s="2" t="s">
        <v>15</v>
      </c>
      <c r="C2" s="2" t="s">
        <v>16</v>
      </c>
      <c r="D2" s="3">
        <v>2200</v>
      </c>
      <c r="E2" s="4">
        <v>145.72</v>
      </c>
      <c r="F2" s="4">
        <f t="shared" ref="F2:F65" si="0">D2*E2</f>
        <v>320584</v>
      </c>
      <c r="G2" s="2" t="s">
        <v>395</v>
      </c>
      <c r="H2" s="2" t="s">
        <v>17</v>
      </c>
      <c r="I2" s="5">
        <v>13</v>
      </c>
      <c r="J2" s="3">
        <v>1916</v>
      </c>
      <c r="K2" s="4">
        <v>56.84</v>
      </c>
      <c r="L2" s="4">
        <f t="shared" ref="L2:L65" si="1">J2*K2</f>
        <v>108905.44</v>
      </c>
      <c r="M2" s="2" t="s">
        <v>18</v>
      </c>
      <c r="N2" s="2" t="s">
        <v>19</v>
      </c>
      <c r="O2" s="2" t="s">
        <v>20</v>
      </c>
      <c r="P2" s="2" t="s">
        <v>375</v>
      </c>
      <c r="Q2" s="6" t="s">
        <v>21</v>
      </c>
      <c r="R2" s="2" t="s">
        <v>22</v>
      </c>
    </row>
    <row r="3" spans="1:18" x14ac:dyDescent="0.25">
      <c r="A3" s="7" t="s">
        <v>23</v>
      </c>
      <c r="B3" s="7" t="s">
        <v>24</v>
      </c>
      <c r="C3" s="7" t="s">
        <v>25</v>
      </c>
      <c r="D3" s="8">
        <v>2600</v>
      </c>
      <c r="E3" s="9">
        <v>310.19</v>
      </c>
      <c r="F3" s="9">
        <f t="shared" si="0"/>
        <v>806494</v>
      </c>
      <c r="G3" s="2" t="s">
        <v>395</v>
      </c>
      <c r="H3" s="7" t="s">
        <v>26</v>
      </c>
      <c r="I3" s="10">
        <v>33</v>
      </c>
      <c r="J3" s="8">
        <v>2056</v>
      </c>
      <c r="K3" s="9">
        <v>556.04999999999995</v>
      </c>
      <c r="L3" s="9">
        <f t="shared" si="1"/>
        <v>1143238.7999999998</v>
      </c>
      <c r="M3" s="7" t="s">
        <v>27</v>
      </c>
      <c r="N3" s="7" t="s">
        <v>28</v>
      </c>
      <c r="O3" s="7" t="s">
        <v>20</v>
      </c>
      <c r="P3" s="2" t="s">
        <v>375</v>
      </c>
      <c r="Q3" s="11" t="s">
        <v>29</v>
      </c>
      <c r="R3" s="7" t="s">
        <v>22</v>
      </c>
    </row>
    <row r="4" spans="1:18" x14ac:dyDescent="0.25">
      <c r="A4" s="2" t="s">
        <v>30</v>
      </c>
      <c r="B4" s="2" t="s">
        <v>31</v>
      </c>
      <c r="C4" s="2" t="s">
        <v>32</v>
      </c>
      <c r="D4" s="3">
        <v>2900</v>
      </c>
      <c r="E4" s="4">
        <v>101.97</v>
      </c>
      <c r="F4" s="4">
        <f t="shared" si="0"/>
        <v>295713</v>
      </c>
      <c r="G4" s="2" t="s">
        <v>395</v>
      </c>
      <c r="H4" s="2" t="s">
        <v>33</v>
      </c>
      <c r="I4" s="5">
        <v>27</v>
      </c>
      <c r="J4" s="3">
        <v>3564</v>
      </c>
      <c r="K4" s="4">
        <v>21.26</v>
      </c>
      <c r="L4" s="4">
        <f t="shared" si="1"/>
        <v>75770.64</v>
      </c>
      <c r="M4" s="2" t="s">
        <v>34</v>
      </c>
      <c r="N4" s="2" t="s">
        <v>28</v>
      </c>
      <c r="O4" s="2" t="s">
        <v>35</v>
      </c>
      <c r="P4" s="2" t="s">
        <v>376</v>
      </c>
      <c r="Q4" s="6" t="s">
        <v>36</v>
      </c>
      <c r="R4" s="2" t="s">
        <v>22</v>
      </c>
    </row>
    <row r="5" spans="1:18" x14ac:dyDescent="0.25">
      <c r="A5" s="7" t="s">
        <v>37</v>
      </c>
      <c r="B5" s="7" t="s">
        <v>38</v>
      </c>
      <c r="C5" s="7" t="s">
        <v>39</v>
      </c>
      <c r="D5" s="8">
        <v>4400</v>
      </c>
      <c r="E5" s="9">
        <v>91.15</v>
      </c>
      <c r="F5" s="9">
        <f t="shared" si="0"/>
        <v>401060</v>
      </c>
      <c r="G5" s="2" t="s">
        <v>395</v>
      </c>
      <c r="H5" s="7" t="s">
        <v>40</v>
      </c>
      <c r="I5" s="10">
        <v>33</v>
      </c>
      <c r="J5" s="8">
        <v>1356</v>
      </c>
      <c r="K5" s="9">
        <v>36.36</v>
      </c>
      <c r="L5" s="9">
        <f t="shared" si="1"/>
        <v>49304.159999999996</v>
      </c>
      <c r="M5" s="7" t="s">
        <v>41</v>
      </c>
      <c r="N5" s="7" t="s">
        <v>42</v>
      </c>
      <c r="O5" s="7" t="s">
        <v>43</v>
      </c>
      <c r="P5" s="2" t="s">
        <v>376</v>
      </c>
      <c r="Q5" s="11" t="s">
        <v>29</v>
      </c>
      <c r="R5" s="7" t="s">
        <v>44</v>
      </c>
    </row>
    <row r="6" spans="1:18" x14ac:dyDescent="0.25">
      <c r="A6" s="2" t="s">
        <v>45</v>
      </c>
      <c r="B6" s="2" t="s">
        <v>46</v>
      </c>
      <c r="C6" s="2" t="s">
        <v>47</v>
      </c>
      <c r="D6" s="3">
        <v>3300</v>
      </c>
      <c r="E6" s="4">
        <v>135.15</v>
      </c>
      <c r="F6" s="4">
        <f t="shared" si="0"/>
        <v>445995</v>
      </c>
      <c r="G6" s="2" t="s">
        <v>395</v>
      </c>
      <c r="H6" s="2" t="s">
        <v>48</v>
      </c>
      <c r="I6" s="5">
        <v>41</v>
      </c>
      <c r="J6" s="3">
        <v>1584</v>
      </c>
      <c r="K6" s="4">
        <v>182.75</v>
      </c>
      <c r="L6" s="4">
        <f t="shared" si="1"/>
        <v>289476</v>
      </c>
      <c r="M6" s="2" t="s">
        <v>49</v>
      </c>
      <c r="N6" s="2" t="s">
        <v>50</v>
      </c>
      <c r="O6" s="2" t="s">
        <v>35</v>
      </c>
      <c r="P6" s="2" t="s">
        <v>376</v>
      </c>
      <c r="Q6" s="6" t="s">
        <v>51</v>
      </c>
      <c r="R6" s="2" t="s">
        <v>52</v>
      </c>
    </row>
    <row r="7" spans="1:18" x14ac:dyDescent="0.25">
      <c r="A7" s="7" t="s">
        <v>53</v>
      </c>
      <c r="B7" s="7" t="s">
        <v>54</v>
      </c>
      <c r="C7" s="7" t="s">
        <v>55</v>
      </c>
      <c r="D7" s="8">
        <v>4650</v>
      </c>
      <c r="E7" s="9">
        <v>83.69</v>
      </c>
      <c r="F7" s="9">
        <f t="shared" si="0"/>
        <v>389158.5</v>
      </c>
      <c r="G7" s="2" t="s">
        <v>395</v>
      </c>
      <c r="H7" s="7" t="s">
        <v>56</v>
      </c>
      <c r="I7" s="10">
        <v>17</v>
      </c>
      <c r="J7" s="8">
        <v>3873</v>
      </c>
      <c r="K7" s="9">
        <v>153.51</v>
      </c>
      <c r="L7" s="9">
        <f t="shared" si="1"/>
        <v>594544.23</v>
      </c>
      <c r="M7" s="7" t="s">
        <v>57</v>
      </c>
      <c r="N7" s="7" t="s">
        <v>19</v>
      </c>
      <c r="O7" s="7" t="s">
        <v>20</v>
      </c>
      <c r="P7" s="2" t="s">
        <v>375</v>
      </c>
      <c r="Q7" s="11" t="s">
        <v>58</v>
      </c>
      <c r="R7" s="7" t="s">
        <v>44</v>
      </c>
    </row>
    <row r="8" spans="1:18" x14ac:dyDescent="0.25">
      <c r="A8" s="2" t="s">
        <v>59</v>
      </c>
      <c r="B8" s="2" t="s">
        <v>60</v>
      </c>
      <c r="C8" s="2" t="s">
        <v>61</v>
      </c>
      <c r="D8" s="3">
        <v>3850</v>
      </c>
      <c r="E8" s="4">
        <v>303.77999999999997</v>
      </c>
      <c r="F8" s="4">
        <f t="shared" si="0"/>
        <v>1169553</v>
      </c>
      <c r="G8" s="2" t="s">
        <v>395</v>
      </c>
      <c r="H8" s="2" t="s">
        <v>62</v>
      </c>
      <c r="I8" s="5">
        <v>19</v>
      </c>
      <c r="J8" s="3">
        <v>653</v>
      </c>
      <c r="K8" s="4">
        <v>62.71</v>
      </c>
      <c r="L8" s="4">
        <f t="shared" si="1"/>
        <v>40949.629999999997</v>
      </c>
      <c r="M8" s="2" t="s">
        <v>63</v>
      </c>
      <c r="N8" s="2" t="s">
        <v>19</v>
      </c>
      <c r="O8" s="2" t="s">
        <v>43</v>
      </c>
      <c r="P8" s="2" t="s">
        <v>376</v>
      </c>
      <c r="Q8" s="6" t="s">
        <v>64</v>
      </c>
      <c r="R8" s="2" t="s">
        <v>52</v>
      </c>
    </row>
    <row r="9" spans="1:18" x14ac:dyDescent="0.25">
      <c r="A9" s="7" t="s">
        <v>37</v>
      </c>
      <c r="B9" s="7" t="s">
        <v>38</v>
      </c>
      <c r="C9" s="7" t="s">
        <v>39</v>
      </c>
      <c r="D9" s="8">
        <v>2750</v>
      </c>
      <c r="E9" s="9">
        <v>96.7</v>
      </c>
      <c r="F9" s="9">
        <f t="shared" si="0"/>
        <v>265925</v>
      </c>
      <c r="G9" s="2" t="s">
        <v>395</v>
      </c>
      <c r="H9" s="7" t="s">
        <v>40</v>
      </c>
      <c r="I9" s="10">
        <v>27</v>
      </c>
      <c r="J9" s="8">
        <v>1774</v>
      </c>
      <c r="K9" s="9">
        <v>34.79</v>
      </c>
      <c r="L9" s="9">
        <f t="shared" si="1"/>
        <v>61717.46</v>
      </c>
      <c r="M9" s="7" t="s">
        <v>65</v>
      </c>
      <c r="N9" s="7" t="s">
        <v>50</v>
      </c>
      <c r="O9" s="7" t="s">
        <v>43</v>
      </c>
      <c r="P9" s="2" t="s">
        <v>376</v>
      </c>
      <c r="Q9" s="11" t="s">
        <v>66</v>
      </c>
      <c r="R9" s="7" t="s">
        <v>52</v>
      </c>
    </row>
    <row r="10" spans="1:18" x14ac:dyDescent="0.25">
      <c r="A10" s="2" t="s">
        <v>67</v>
      </c>
      <c r="B10" s="2" t="s">
        <v>68</v>
      </c>
      <c r="C10" s="2" t="s">
        <v>69</v>
      </c>
      <c r="D10" s="3">
        <v>2100</v>
      </c>
      <c r="E10" s="4">
        <v>428.05</v>
      </c>
      <c r="F10" s="4">
        <f t="shared" si="0"/>
        <v>898905</v>
      </c>
      <c r="G10" s="2" t="s">
        <v>395</v>
      </c>
      <c r="H10" s="2" t="s">
        <v>70</v>
      </c>
      <c r="I10" s="5">
        <v>39</v>
      </c>
      <c r="J10" s="3">
        <v>2856</v>
      </c>
      <c r="K10" s="4">
        <v>2447.6999999999998</v>
      </c>
      <c r="L10" s="4">
        <f t="shared" si="1"/>
        <v>6990631.1999999993</v>
      </c>
      <c r="M10" s="2" t="s">
        <v>71</v>
      </c>
      <c r="N10" s="2" t="s">
        <v>28</v>
      </c>
      <c r="O10" s="2" t="s">
        <v>20</v>
      </c>
      <c r="P10" s="2" t="s">
        <v>375</v>
      </c>
      <c r="Q10" s="6" t="s">
        <v>72</v>
      </c>
      <c r="R10" s="2" t="s">
        <v>73</v>
      </c>
    </row>
    <row r="11" spans="1:18" x14ac:dyDescent="0.25">
      <c r="A11" s="7" t="s">
        <v>59</v>
      </c>
      <c r="B11" s="7" t="s">
        <v>60</v>
      </c>
      <c r="C11" s="7" t="s">
        <v>61</v>
      </c>
      <c r="D11" s="8">
        <v>3000</v>
      </c>
      <c r="E11" s="9">
        <v>285.2</v>
      </c>
      <c r="F11" s="9">
        <f t="shared" si="0"/>
        <v>855600</v>
      </c>
      <c r="G11" s="2" t="s">
        <v>395</v>
      </c>
      <c r="H11" s="7" t="s">
        <v>62</v>
      </c>
      <c r="I11" s="10">
        <v>32</v>
      </c>
      <c r="J11" s="8">
        <v>3383</v>
      </c>
      <c r="K11" s="9">
        <v>65.72</v>
      </c>
      <c r="L11" s="9">
        <f t="shared" si="1"/>
        <v>222330.76</v>
      </c>
      <c r="M11" s="7" t="s">
        <v>74</v>
      </c>
      <c r="N11" s="7" t="s">
        <v>75</v>
      </c>
      <c r="O11" s="7" t="s">
        <v>35</v>
      </c>
      <c r="P11" s="2" t="s">
        <v>376</v>
      </c>
      <c r="Q11" s="11" t="s">
        <v>76</v>
      </c>
      <c r="R11" s="7" t="s">
        <v>44</v>
      </c>
    </row>
    <row r="12" spans="1:18" x14ac:dyDescent="0.25">
      <c r="A12" s="2" t="s">
        <v>23</v>
      </c>
      <c r="B12" s="2" t="s">
        <v>24</v>
      </c>
      <c r="C12" s="2" t="s">
        <v>25</v>
      </c>
      <c r="D12" s="3">
        <v>1900</v>
      </c>
      <c r="E12" s="4">
        <v>314.95999999999998</v>
      </c>
      <c r="F12" s="4">
        <f t="shared" si="0"/>
        <v>598424</v>
      </c>
      <c r="G12" s="2" t="s">
        <v>395</v>
      </c>
      <c r="H12" s="2" t="s">
        <v>26</v>
      </c>
      <c r="I12" s="5">
        <v>38</v>
      </c>
      <c r="J12" s="3">
        <v>3084</v>
      </c>
      <c r="K12" s="4">
        <v>550.58000000000004</v>
      </c>
      <c r="L12" s="4">
        <f t="shared" si="1"/>
        <v>1697988.7200000002</v>
      </c>
      <c r="M12" s="2" t="s">
        <v>77</v>
      </c>
      <c r="N12" s="2" t="s">
        <v>75</v>
      </c>
      <c r="O12" s="2" t="s">
        <v>20</v>
      </c>
      <c r="P12" s="2" t="s">
        <v>375</v>
      </c>
      <c r="Q12" s="6" t="s">
        <v>78</v>
      </c>
      <c r="R12" s="2" t="s">
        <v>22</v>
      </c>
    </row>
    <row r="13" spans="1:18" x14ac:dyDescent="0.25">
      <c r="A13" s="7" t="s">
        <v>59</v>
      </c>
      <c r="B13" s="7" t="s">
        <v>60</v>
      </c>
      <c r="C13" s="7" t="s">
        <v>61</v>
      </c>
      <c r="D13" s="8">
        <v>4550</v>
      </c>
      <c r="E13" s="9">
        <v>284.73</v>
      </c>
      <c r="F13" s="9">
        <f t="shared" si="0"/>
        <v>1295521.5</v>
      </c>
      <c r="G13" s="2" t="s">
        <v>395</v>
      </c>
      <c r="H13" s="7" t="s">
        <v>62</v>
      </c>
      <c r="I13" s="10">
        <v>26</v>
      </c>
      <c r="J13" s="8">
        <v>3826</v>
      </c>
      <c r="K13" s="9">
        <v>67.47</v>
      </c>
      <c r="L13" s="9">
        <f t="shared" si="1"/>
        <v>258140.22</v>
      </c>
      <c r="M13" s="7" t="s">
        <v>79</v>
      </c>
      <c r="N13" s="7" t="s">
        <v>42</v>
      </c>
      <c r="O13" s="7" t="s">
        <v>35</v>
      </c>
      <c r="P13" s="2" t="s">
        <v>376</v>
      </c>
      <c r="Q13" s="11" t="s">
        <v>80</v>
      </c>
      <c r="R13" s="7" t="s">
        <v>81</v>
      </c>
    </row>
    <row r="14" spans="1:18" x14ac:dyDescent="0.25">
      <c r="A14" s="2" t="s">
        <v>30</v>
      </c>
      <c r="B14" s="2" t="s">
        <v>31</v>
      </c>
      <c r="C14" s="2" t="s">
        <v>32</v>
      </c>
      <c r="D14" s="3">
        <v>3800</v>
      </c>
      <c r="E14" s="4">
        <v>106.75</v>
      </c>
      <c r="F14" s="4">
        <f t="shared" si="0"/>
        <v>405650</v>
      </c>
      <c r="G14" s="2" t="s">
        <v>395</v>
      </c>
      <c r="H14" s="2" t="s">
        <v>33</v>
      </c>
      <c r="I14" s="5">
        <v>23</v>
      </c>
      <c r="J14" s="3">
        <v>3910</v>
      </c>
      <c r="K14" s="4">
        <v>22.84</v>
      </c>
      <c r="L14" s="4">
        <f t="shared" si="1"/>
        <v>89304.4</v>
      </c>
      <c r="M14" s="2" t="s">
        <v>82</v>
      </c>
      <c r="N14" s="2" t="s">
        <v>50</v>
      </c>
      <c r="O14" s="2" t="s">
        <v>35</v>
      </c>
      <c r="P14" s="2" t="s">
        <v>376</v>
      </c>
      <c r="Q14" s="6" t="s">
        <v>83</v>
      </c>
      <c r="R14" s="2" t="s">
        <v>22</v>
      </c>
    </row>
    <row r="15" spans="1:18" x14ac:dyDescent="0.25">
      <c r="A15" s="7" t="s">
        <v>30</v>
      </c>
      <c r="B15" s="7" t="s">
        <v>31</v>
      </c>
      <c r="C15" s="7" t="s">
        <v>32</v>
      </c>
      <c r="D15" s="8">
        <v>2750</v>
      </c>
      <c r="E15" s="9">
        <v>107.84</v>
      </c>
      <c r="F15" s="9">
        <f t="shared" si="0"/>
        <v>296560</v>
      </c>
      <c r="G15" s="2" t="s">
        <v>395</v>
      </c>
      <c r="H15" s="7" t="s">
        <v>33</v>
      </c>
      <c r="I15" s="10">
        <v>13</v>
      </c>
      <c r="J15" s="8">
        <v>1092</v>
      </c>
      <c r="K15" s="9">
        <v>22.34</v>
      </c>
      <c r="L15" s="9">
        <f t="shared" si="1"/>
        <v>24395.279999999999</v>
      </c>
      <c r="M15" s="7" t="s">
        <v>84</v>
      </c>
      <c r="N15" s="7" t="s">
        <v>50</v>
      </c>
      <c r="O15" s="7" t="s">
        <v>85</v>
      </c>
      <c r="P15" s="2" t="s">
        <v>376</v>
      </c>
      <c r="Q15" s="11" t="s">
        <v>86</v>
      </c>
      <c r="R15" s="7" t="s">
        <v>73</v>
      </c>
    </row>
    <row r="16" spans="1:18" x14ac:dyDescent="0.25">
      <c r="A16" s="2" t="s">
        <v>23</v>
      </c>
      <c r="B16" s="2" t="s">
        <v>24</v>
      </c>
      <c r="C16" s="2" t="s">
        <v>25</v>
      </c>
      <c r="D16" s="3">
        <v>1900</v>
      </c>
      <c r="E16" s="4">
        <v>319.02999999999997</v>
      </c>
      <c r="F16" s="4">
        <f t="shared" si="0"/>
        <v>606157</v>
      </c>
      <c r="G16" s="2" t="s">
        <v>395</v>
      </c>
      <c r="H16" s="2" t="s">
        <v>26</v>
      </c>
      <c r="I16" s="5">
        <v>26</v>
      </c>
      <c r="J16" s="3">
        <v>4455</v>
      </c>
      <c r="K16" s="4">
        <v>532.23</v>
      </c>
      <c r="L16" s="4">
        <f t="shared" si="1"/>
        <v>2371084.65</v>
      </c>
      <c r="M16" s="2" t="s">
        <v>87</v>
      </c>
      <c r="N16" s="2" t="s">
        <v>19</v>
      </c>
      <c r="O16" s="2" t="s">
        <v>20</v>
      </c>
      <c r="P16" s="2" t="s">
        <v>375</v>
      </c>
      <c r="Q16" s="6" t="s">
        <v>88</v>
      </c>
      <c r="R16" s="2" t="s">
        <v>44</v>
      </c>
    </row>
    <row r="17" spans="1:18" x14ac:dyDescent="0.25">
      <c r="A17" s="7" t="s">
        <v>89</v>
      </c>
      <c r="B17" s="7" t="s">
        <v>90</v>
      </c>
      <c r="C17" s="7" t="s">
        <v>394</v>
      </c>
      <c r="D17" s="8">
        <v>4750</v>
      </c>
      <c r="E17" s="9">
        <v>113.1</v>
      </c>
      <c r="F17" s="9">
        <f t="shared" si="0"/>
        <v>537225</v>
      </c>
      <c r="G17" s="2" t="s">
        <v>395</v>
      </c>
      <c r="H17" s="7" t="s">
        <v>92</v>
      </c>
      <c r="I17" s="10">
        <v>18</v>
      </c>
      <c r="J17" s="8">
        <v>4331</v>
      </c>
      <c r="K17" s="9">
        <v>46.59</v>
      </c>
      <c r="L17" s="9">
        <f t="shared" si="1"/>
        <v>201781.29</v>
      </c>
      <c r="M17" s="7" t="s">
        <v>93</v>
      </c>
      <c r="N17" s="7" t="s">
        <v>75</v>
      </c>
      <c r="O17" s="7" t="s">
        <v>20</v>
      </c>
      <c r="P17" s="2" t="s">
        <v>375</v>
      </c>
      <c r="Q17" s="11" t="s">
        <v>94</v>
      </c>
      <c r="R17" s="7" t="s">
        <v>73</v>
      </c>
    </row>
    <row r="18" spans="1:18" x14ac:dyDescent="0.25">
      <c r="A18" s="2" t="s">
        <v>59</v>
      </c>
      <c r="B18" s="2" t="s">
        <v>60</v>
      </c>
      <c r="C18" s="2" t="s">
        <v>61</v>
      </c>
      <c r="D18" s="3">
        <v>1050</v>
      </c>
      <c r="E18" s="4">
        <v>285.16000000000003</v>
      </c>
      <c r="F18" s="4">
        <f t="shared" si="0"/>
        <v>299418</v>
      </c>
      <c r="G18" s="2" t="s">
        <v>395</v>
      </c>
      <c r="H18" s="2" t="s">
        <v>62</v>
      </c>
      <c r="I18" s="5">
        <v>40</v>
      </c>
      <c r="J18" s="3">
        <v>435</v>
      </c>
      <c r="K18" s="4">
        <v>64.73</v>
      </c>
      <c r="L18" s="4">
        <f t="shared" si="1"/>
        <v>28157.550000000003</v>
      </c>
      <c r="M18" s="2" t="s">
        <v>95</v>
      </c>
      <c r="N18" s="2" t="s">
        <v>19</v>
      </c>
      <c r="O18" s="2" t="s">
        <v>377</v>
      </c>
      <c r="P18" s="2" t="s">
        <v>378</v>
      </c>
      <c r="Q18" s="6" t="s">
        <v>96</v>
      </c>
      <c r="R18" s="2" t="s">
        <v>52</v>
      </c>
    </row>
    <row r="19" spans="1:18" x14ac:dyDescent="0.25">
      <c r="A19" s="7" t="s">
        <v>67</v>
      </c>
      <c r="B19" s="7" t="s">
        <v>68</v>
      </c>
      <c r="C19" s="7" t="s">
        <v>69</v>
      </c>
      <c r="D19" s="8">
        <v>3550</v>
      </c>
      <c r="E19" s="9">
        <v>461.42</v>
      </c>
      <c r="F19" s="9">
        <f t="shared" si="0"/>
        <v>1638041</v>
      </c>
      <c r="G19" s="2" t="s">
        <v>395</v>
      </c>
      <c r="H19" s="7" t="s">
        <v>70</v>
      </c>
      <c r="I19" s="10">
        <v>28</v>
      </c>
      <c r="J19" s="8">
        <v>888</v>
      </c>
      <c r="K19" s="9">
        <v>2459.4499999999998</v>
      </c>
      <c r="L19" s="9">
        <f t="shared" si="1"/>
        <v>2183991.5999999996</v>
      </c>
      <c r="M19" s="7" t="s">
        <v>97</v>
      </c>
      <c r="N19" s="7" t="s">
        <v>42</v>
      </c>
      <c r="O19" s="7" t="s">
        <v>85</v>
      </c>
      <c r="P19" s="2" t="s">
        <v>376</v>
      </c>
      <c r="Q19" s="11" t="s">
        <v>88</v>
      </c>
      <c r="R19" s="7" t="s">
        <v>73</v>
      </c>
    </row>
    <row r="20" spans="1:18" x14ac:dyDescent="0.25">
      <c r="A20" s="2" t="s">
        <v>45</v>
      </c>
      <c r="B20" s="2" t="s">
        <v>46</v>
      </c>
      <c r="C20" s="2" t="s">
        <v>47</v>
      </c>
      <c r="D20" s="3">
        <v>1950</v>
      </c>
      <c r="E20" s="4">
        <v>133.86000000000001</v>
      </c>
      <c r="F20" s="4">
        <f t="shared" si="0"/>
        <v>261027.00000000003</v>
      </c>
      <c r="G20" s="2" t="s">
        <v>395</v>
      </c>
      <c r="H20" s="2" t="s">
        <v>48</v>
      </c>
      <c r="I20" s="5">
        <v>12</v>
      </c>
      <c r="J20" s="3">
        <v>2078</v>
      </c>
      <c r="K20" s="4">
        <v>179.56</v>
      </c>
      <c r="L20" s="4">
        <f t="shared" si="1"/>
        <v>373125.68</v>
      </c>
      <c r="M20" s="2" t="s">
        <v>98</v>
      </c>
      <c r="N20" s="2" t="s">
        <v>28</v>
      </c>
      <c r="O20" s="2" t="s">
        <v>20</v>
      </c>
      <c r="P20" s="2" t="s">
        <v>375</v>
      </c>
      <c r="Q20" s="6" t="s">
        <v>99</v>
      </c>
      <c r="R20" s="2" t="s">
        <v>44</v>
      </c>
    </row>
    <row r="21" spans="1:18" x14ac:dyDescent="0.25">
      <c r="A21" s="7" t="s">
        <v>30</v>
      </c>
      <c r="B21" s="7" t="s">
        <v>31</v>
      </c>
      <c r="C21" s="7" t="s">
        <v>32</v>
      </c>
      <c r="D21" s="8">
        <v>3800</v>
      </c>
      <c r="E21" s="9">
        <v>104.86</v>
      </c>
      <c r="F21" s="9">
        <f t="shared" si="0"/>
        <v>398468</v>
      </c>
      <c r="G21" s="2" t="s">
        <v>395</v>
      </c>
      <c r="H21" s="7" t="s">
        <v>33</v>
      </c>
      <c r="I21" s="10">
        <v>11</v>
      </c>
      <c r="J21" s="8">
        <v>415</v>
      </c>
      <c r="K21" s="9">
        <v>21.51</v>
      </c>
      <c r="L21" s="9">
        <f t="shared" si="1"/>
        <v>8926.6500000000015</v>
      </c>
      <c r="M21" s="7" t="s">
        <v>100</v>
      </c>
      <c r="N21" s="7" t="s">
        <v>101</v>
      </c>
      <c r="O21" s="7" t="s">
        <v>35</v>
      </c>
      <c r="P21" s="2" t="s">
        <v>376</v>
      </c>
      <c r="Q21" s="11" t="s">
        <v>102</v>
      </c>
      <c r="R21" s="7" t="s">
        <v>22</v>
      </c>
    </row>
    <row r="22" spans="1:18" x14ac:dyDescent="0.25">
      <c r="A22" s="2" t="s">
        <v>89</v>
      </c>
      <c r="B22" s="2" t="s">
        <v>90</v>
      </c>
      <c r="C22" s="7" t="s">
        <v>394</v>
      </c>
      <c r="D22" s="3">
        <v>2600</v>
      </c>
      <c r="E22" s="4">
        <v>111.02</v>
      </c>
      <c r="F22" s="4">
        <f t="shared" si="0"/>
        <v>288652</v>
      </c>
      <c r="G22" s="2" t="s">
        <v>395</v>
      </c>
      <c r="H22" s="2" t="s">
        <v>92</v>
      </c>
      <c r="I22" s="5">
        <v>39</v>
      </c>
      <c r="J22" s="3">
        <v>554</v>
      </c>
      <c r="K22" s="4">
        <v>44.83</v>
      </c>
      <c r="L22" s="4">
        <f t="shared" si="1"/>
        <v>24835.82</v>
      </c>
      <c r="M22" s="2" t="s">
        <v>103</v>
      </c>
      <c r="N22" s="2" t="s">
        <v>104</v>
      </c>
      <c r="O22" s="2" t="s">
        <v>20</v>
      </c>
      <c r="P22" s="2" t="s">
        <v>375</v>
      </c>
      <c r="Q22" s="6" t="s">
        <v>105</v>
      </c>
      <c r="R22" s="2" t="s">
        <v>52</v>
      </c>
    </row>
    <row r="23" spans="1:18" x14ac:dyDescent="0.25">
      <c r="A23" s="7" t="s">
        <v>106</v>
      </c>
      <c r="B23" s="7" t="s">
        <v>393</v>
      </c>
      <c r="C23" s="7" t="s">
        <v>108</v>
      </c>
      <c r="D23" s="8">
        <v>4050</v>
      </c>
      <c r="E23" s="9">
        <v>217.44</v>
      </c>
      <c r="F23" s="9">
        <f t="shared" si="0"/>
        <v>880632</v>
      </c>
      <c r="G23" s="2" t="s">
        <v>395</v>
      </c>
      <c r="H23" s="7" t="s">
        <v>109</v>
      </c>
      <c r="I23" s="10">
        <v>34</v>
      </c>
      <c r="J23" s="8">
        <v>121</v>
      </c>
      <c r="K23" s="9">
        <v>8.42</v>
      </c>
      <c r="L23" s="9">
        <f t="shared" si="1"/>
        <v>1018.8199999999999</v>
      </c>
      <c r="M23" s="7" t="s">
        <v>110</v>
      </c>
      <c r="N23" s="7" t="s">
        <v>28</v>
      </c>
      <c r="O23" s="7" t="s">
        <v>35</v>
      </c>
      <c r="P23" s="2" t="s">
        <v>376</v>
      </c>
      <c r="Q23" s="11" t="s">
        <v>111</v>
      </c>
      <c r="R23" s="7" t="s">
        <v>44</v>
      </c>
    </row>
    <row r="24" spans="1:18" x14ac:dyDescent="0.25">
      <c r="A24" s="2" t="s">
        <v>45</v>
      </c>
      <c r="B24" s="2" t="s">
        <v>46</v>
      </c>
      <c r="C24" s="2" t="s">
        <v>47</v>
      </c>
      <c r="D24" s="3">
        <v>3800</v>
      </c>
      <c r="E24" s="4">
        <v>127.01</v>
      </c>
      <c r="F24" s="4">
        <f t="shared" si="0"/>
        <v>482638</v>
      </c>
      <c r="G24" s="2" t="s">
        <v>395</v>
      </c>
      <c r="H24" s="2" t="s">
        <v>48</v>
      </c>
      <c r="I24" s="5">
        <v>28</v>
      </c>
      <c r="J24" s="3">
        <v>1445</v>
      </c>
      <c r="K24" s="4">
        <v>180.24</v>
      </c>
      <c r="L24" s="4">
        <f t="shared" si="1"/>
        <v>260446.80000000002</v>
      </c>
      <c r="M24" s="2" t="s">
        <v>112</v>
      </c>
      <c r="N24" s="2" t="s">
        <v>101</v>
      </c>
      <c r="O24" s="2" t="s">
        <v>20</v>
      </c>
      <c r="P24" s="2" t="s">
        <v>375</v>
      </c>
      <c r="Q24" s="6" t="s">
        <v>113</v>
      </c>
      <c r="R24" s="2" t="s">
        <v>73</v>
      </c>
    </row>
    <row r="25" spans="1:18" x14ac:dyDescent="0.25">
      <c r="A25" s="7" t="s">
        <v>53</v>
      </c>
      <c r="B25" s="7" t="s">
        <v>54</v>
      </c>
      <c r="C25" s="7" t="s">
        <v>55</v>
      </c>
      <c r="D25" s="8">
        <v>1300</v>
      </c>
      <c r="E25" s="9">
        <v>85.26</v>
      </c>
      <c r="F25" s="9">
        <f t="shared" si="0"/>
        <v>110838</v>
      </c>
      <c r="G25" s="2" t="s">
        <v>395</v>
      </c>
      <c r="H25" s="7" t="s">
        <v>56</v>
      </c>
      <c r="I25" s="10">
        <v>41</v>
      </c>
      <c r="J25" s="8">
        <v>2466</v>
      </c>
      <c r="K25" s="9">
        <v>145.63999999999999</v>
      </c>
      <c r="L25" s="9">
        <f t="shared" si="1"/>
        <v>359148.24</v>
      </c>
      <c r="M25" s="7" t="s">
        <v>114</v>
      </c>
      <c r="N25" s="7" t="s">
        <v>42</v>
      </c>
      <c r="O25" s="7" t="s">
        <v>20</v>
      </c>
      <c r="P25" s="2" t="s">
        <v>375</v>
      </c>
      <c r="Q25" s="11" t="s">
        <v>115</v>
      </c>
      <c r="R25" s="7" t="s">
        <v>22</v>
      </c>
    </row>
    <row r="26" spans="1:18" x14ac:dyDescent="0.25">
      <c r="A26" s="2" t="s">
        <v>23</v>
      </c>
      <c r="B26" s="2" t="s">
        <v>24</v>
      </c>
      <c r="C26" s="2" t="s">
        <v>25</v>
      </c>
      <c r="D26" s="3">
        <v>3450</v>
      </c>
      <c r="E26" s="4">
        <v>307.24</v>
      </c>
      <c r="F26" s="4">
        <f t="shared" si="0"/>
        <v>1059978</v>
      </c>
      <c r="G26" s="2" t="s">
        <v>395</v>
      </c>
      <c r="H26" s="2" t="s">
        <v>26</v>
      </c>
      <c r="I26" s="5">
        <v>13</v>
      </c>
      <c r="J26" s="3">
        <v>2932</v>
      </c>
      <c r="K26" s="4">
        <v>564.53</v>
      </c>
      <c r="L26" s="4">
        <f t="shared" si="1"/>
        <v>1655201.96</v>
      </c>
      <c r="M26" s="2" t="s">
        <v>116</v>
      </c>
      <c r="N26" s="2" t="s">
        <v>50</v>
      </c>
      <c r="O26" s="2" t="s">
        <v>35</v>
      </c>
      <c r="P26" s="2" t="s">
        <v>376</v>
      </c>
      <c r="Q26" s="6" t="s">
        <v>117</v>
      </c>
      <c r="R26" s="2" t="s">
        <v>44</v>
      </c>
    </row>
    <row r="27" spans="1:18" x14ac:dyDescent="0.25">
      <c r="A27" s="7" t="s">
        <v>59</v>
      </c>
      <c r="B27" s="7" t="s">
        <v>60</v>
      </c>
      <c r="C27" s="7" t="s">
        <v>61</v>
      </c>
      <c r="D27" s="8">
        <v>4250</v>
      </c>
      <c r="E27" s="9">
        <v>297.72000000000003</v>
      </c>
      <c r="F27" s="9">
        <f t="shared" si="0"/>
        <v>1265310</v>
      </c>
      <c r="G27" s="2" t="s">
        <v>395</v>
      </c>
      <c r="H27" s="7" t="s">
        <v>62</v>
      </c>
      <c r="I27" s="10">
        <v>36</v>
      </c>
      <c r="J27" s="8">
        <v>546</v>
      </c>
      <c r="K27" s="9">
        <v>64.349999999999994</v>
      </c>
      <c r="L27" s="9">
        <f t="shared" si="1"/>
        <v>35135.1</v>
      </c>
      <c r="M27" s="7" t="s">
        <v>118</v>
      </c>
      <c r="N27" s="7" t="s">
        <v>104</v>
      </c>
      <c r="O27" s="7" t="s">
        <v>35</v>
      </c>
      <c r="P27" s="2" t="s">
        <v>376</v>
      </c>
      <c r="Q27" s="11" t="s">
        <v>119</v>
      </c>
      <c r="R27" s="7" t="s">
        <v>81</v>
      </c>
    </row>
    <row r="28" spans="1:18" x14ac:dyDescent="0.25">
      <c r="A28" s="2" t="s">
        <v>89</v>
      </c>
      <c r="B28" s="2" t="s">
        <v>90</v>
      </c>
      <c r="C28" s="7" t="s">
        <v>394</v>
      </c>
      <c r="D28" s="3">
        <v>4350</v>
      </c>
      <c r="E28" s="4">
        <v>105.89</v>
      </c>
      <c r="F28" s="4">
        <f t="shared" si="0"/>
        <v>460621.5</v>
      </c>
      <c r="G28" s="2" t="s">
        <v>395</v>
      </c>
      <c r="H28" s="2" t="s">
        <v>92</v>
      </c>
      <c r="I28" s="5">
        <v>25</v>
      </c>
      <c r="J28" s="3">
        <v>815</v>
      </c>
      <c r="K28" s="4">
        <v>43.89</v>
      </c>
      <c r="L28" s="4">
        <f t="shared" si="1"/>
        <v>35770.35</v>
      </c>
      <c r="M28" s="2" t="s">
        <v>120</v>
      </c>
      <c r="N28" s="2" t="s">
        <v>75</v>
      </c>
      <c r="O28" s="2" t="s">
        <v>20</v>
      </c>
      <c r="P28" s="2" t="s">
        <v>375</v>
      </c>
      <c r="Q28" s="6" t="s">
        <v>121</v>
      </c>
      <c r="R28" s="2" t="s">
        <v>22</v>
      </c>
    </row>
    <row r="29" spans="1:18" x14ac:dyDescent="0.25">
      <c r="A29" s="7" t="s">
        <v>23</v>
      </c>
      <c r="B29" s="7" t="s">
        <v>24</v>
      </c>
      <c r="C29" s="7" t="s">
        <v>25</v>
      </c>
      <c r="D29" s="8">
        <v>4850</v>
      </c>
      <c r="E29" s="9">
        <v>308.72000000000003</v>
      </c>
      <c r="F29" s="9">
        <f t="shared" si="0"/>
        <v>1497292.0000000002</v>
      </c>
      <c r="G29" s="2" t="s">
        <v>395</v>
      </c>
      <c r="H29" s="7" t="s">
        <v>26</v>
      </c>
      <c r="I29" s="10">
        <v>21</v>
      </c>
      <c r="J29" s="8">
        <v>3578</v>
      </c>
      <c r="K29" s="9">
        <v>549.16</v>
      </c>
      <c r="L29" s="9">
        <f t="shared" si="1"/>
        <v>1964894.48</v>
      </c>
      <c r="M29" s="7" t="s">
        <v>122</v>
      </c>
      <c r="N29" s="7" t="s">
        <v>42</v>
      </c>
      <c r="O29" s="7" t="s">
        <v>43</v>
      </c>
      <c r="P29" s="2" t="s">
        <v>376</v>
      </c>
      <c r="Q29" s="11" t="s">
        <v>123</v>
      </c>
      <c r="R29" s="7" t="s">
        <v>52</v>
      </c>
    </row>
    <row r="30" spans="1:18" x14ac:dyDescent="0.25">
      <c r="A30" s="2" t="s">
        <v>392</v>
      </c>
      <c r="B30" s="2" t="s">
        <v>15</v>
      </c>
      <c r="C30" s="2" t="s">
        <v>16</v>
      </c>
      <c r="D30" s="3">
        <v>2600</v>
      </c>
      <c r="E30" s="4">
        <v>135.51</v>
      </c>
      <c r="F30" s="4">
        <f t="shared" si="0"/>
        <v>352326</v>
      </c>
      <c r="G30" s="2" t="s">
        <v>395</v>
      </c>
      <c r="H30" s="2" t="s">
        <v>17</v>
      </c>
      <c r="I30" s="5">
        <v>30</v>
      </c>
      <c r="J30" s="3">
        <v>1405</v>
      </c>
      <c r="K30" s="4">
        <v>57.17</v>
      </c>
      <c r="L30" s="4">
        <f t="shared" si="1"/>
        <v>80323.850000000006</v>
      </c>
      <c r="M30" s="2" t="s">
        <v>124</v>
      </c>
      <c r="N30" s="2" t="s">
        <v>42</v>
      </c>
      <c r="O30" s="2" t="s">
        <v>20</v>
      </c>
      <c r="P30" s="2" t="s">
        <v>375</v>
      </c>
      <c r="Q30" s="6" t="s">
        <v>125</v>
      </c>
      <c r="R30" s="2" t="s">
        <v>44</v>
      </c>
    </row>
    <row r="31" spans="1:18" x14ac:dyDescent="0.25">
      <c r="A31" s="2" t="s">
        <v>392</v>
      </c>
      <c r="B31" s="7" t="s">
        <v>15</v>
      </c>
      <c r="C31" s="7" t="s">
        <v>16</v>
      </c>
      <c r="D31" s="8">
        <v>3100</v>
      </c>
      <c r="E31" s="9">
        <v>137.91</v>
      </c>
      <c r="F31" s="9">
        <f t="shared" si="0"/>
        <v>427521</v>
      </c>
      <c r="G31" s="2" t="s">
        <v>395</v>
      </c>
      <c r="H31" s="7" t="s">
        <v>17</v>
      </c>
      <c r="I31" s="10">
        <v>24</v>
      </c>
      <c r="J31" s="8">
        <v>2441</v>
      </c>
      <c r="K31" s="9">
        <v>55.07</v>
      </c>
      <c r="L31" s="9">
        <f t="shared" si="1"/>
        <v>134425.87</v>
      </c>
      <c r="M31" s="7" t="s">
        <v>126</v>
      </c>
      <c r="N31" s="7" t="s">
        <v>50</v>
      </c>
      <c r="O31" s="7" t="s">
        <v>20</v>
      </c>
      <c r="P31" s="2" t="s">
        <v>375</v>
      </c>
      <c r="Q31" s="11" t="s">
        <v>105</v>
      </c>
      <c r="R31" s="7" t="s">
        <v>44</v>
      </c>
    </row>
    <row r="32" spans="1:18" x14ac:dyDescent="0.25">
      <c r="A32" s="2" t="s">
        <v>53</v>
      </c>
      <c r="B32" s="2" t="s">
        <v>54</v>
      </c>
      <c r="C32" s="2" t="s">
        <v>55</v>
      </c>
      <c r="D32" s="3">
        <v>3400</v>
      </c>
      <c r="E32" s="4">
        <v>81.67</v>
      </c>
      <c r="F32" s="4">
        <f t="shared" si="0"/>
        <v>277678</v>
      </c>
      <c r="G32" s="2" t="s">
        <v>395</v>
      </c>
      <c r="H32" s="2" t="s">
        <v>56</v>
      </c>
      <c r="I32" s="5">
        <v>21</v>
      </c>
      <c r="J32" s="3">
        <v>4832</v>
      </c>
      <c r="K32" s="4">
        <v>146.52000000000001</v>
      </c>
      <c r="L32" s="4">
        <f t="shared" si="1"/>
        <v>707984.64</v>
      </c>
      <c r="M32" s="2" t="s">
        <v>127</v>
      </c>
      <c r="N32" s="2" t="s">
        <v>104</v>
      </c>
      <c r="O32" s="2" t="s">
        <v>85</v>
      </c>
      <c r="P32" s="2" t="s">
        <v>376</v>
      </c>
      <c r="Q32" s="6" t="s">
        <v>128</v>
      </c>
      <c r="R32" s="2" t="s">
        <v>22</v>
      </c>
    </row>
    <row r="33" spans="1:18" x14ac:dyDescent="0.25">
      <c r="A33" s="7" t="s">
        <v>53</v>
      </c>
      <c r="B33" s="7" t="s">
        <v>54</v>
      </c>
      <c r="C33" s="7" t="s">
        <v>55</v>
      </c>
      <c r="D33" s="8">
        <v>2900</v>
      </c>
      <c r="E33" s="9">
        <v>82.24</v>
      </c>
      <c r="F33" s="9">
        <f t="shared" si="0"/>
        <v>238495.99999999997</v>
      </c>
      <c r="G33" s="2" t="s">
        <v>395</v>
      </c>
      <c r="H33" s="7" t="s">
        <v>56</v>
      </c>
      <c r="I33" s="10">
        <v>35</v>
      </c>
      <c r="J33" s="8">
        <v>3001</v>
      </c>
      <c r="K33" s="9">
        <v>151.38</v>
      </c>
      <c r="L33" s="9">
        <f t="shared" si="1"/>
        <v>454291.38</v>
      </c>
      <c r="M33" s="7" t="s">
        <v>129</v>
      </c>
      <c r="N33" s="7" t="s">
        <v>42</v>
      </c>
      <c r="O33" s="2" t="s">
        <v>377</v>
      </c>
      <c r="P33" s="2" t="s">
        <v>378</v>
      </c>
      <c r="Q33" s="11" t="s">
        <v>130</v>
      </c>
      <c r="R33" s="7" t="s">
        <v>81</v>
      </c>
    </row>
    <row r="34" spans="1:18" x14ac:dyDescent="0.25">
      <c r="A34" s="2" t="s">
        <v>53</v>
      </c>
      <c r="B34" s="2" t="s">
        <v>54</v>
      </c>
      <c r="C34" s="2" t="s">
        <v>55</v>
      </c>
      <c r="D34" s="3">
        <v>2100</v>
      </c>
      <c r="E34" s="4">
        <v>88.49</v>
      </c>
      <c r="F34" s="4">
        <f t="shared" si="0"/>
        <v>185829</v>
      </c>
      <c r="G34" s="2" t="s">
        <v>395</v>
      </c>
      <c r="H34" s="2" t="s">
        <v>56</v>
      </c>
      <c r="I34" s="5">
        <v>42</v>
      </c>
      <c r="J34" s="3">
        <v>4428</v>
      </c>
      <c r="K34" s="4">
        <v>149.81</v>
      </c>
      <c r="L34" s="4">
        <f t="shared" si="1"/>
        <v>663358.68000000005</v>
      </c>
      <c r="M34" s="2" t="s">
        <v>131</v>
      </c>
      <c r="N34" s="2" t="s">
        <v>42</v>
      </c>
      <c r="O34" s="2" t="s">
        <v>43</v>
      </c>
      <c r="P34" s="2" t="s">
        <v>376</v>
      </c>
      <c r="Q34" s="6" t="s">
        <v>132</v>
      </c>
      <c r="R34" s="2" t="s">
        <v>52</v>
      </c>
    </row>
    <row r="35" spans="1:18" x14ac:dyDescent="0.25">
      <c r="A35" s="7" t="s">
        <v>30</v>
      </c>
      <c r="B35" s="7" t="s">
        <v>31</v>
      </c>
      <c r="C35" s="7" t="s">
        <v>32</v>
      </c>
      <c r="D35" s="8">
        <v>3950</v>
      </c>
      <c r="E35" s="9">
        <v>107.71</v>
      </c>
      <c r="F35" s="9">
        <f t="shared" si="0"/>
        <v>425454.5</v>
      </c>
      <c r="G35" s="2" t="s">
        <v>395</v>
      </c>
      <c r="H35" s="7" t="s">
        <v>33</v>
      </c>
      <c r="I35" s="10">
        <v>38</v>
      </c>
      <c r="J35" s="8">
        <v>3691</v>
      </c>
      <c r="K35" s="9">
        <v>21.74</v>
      </c>
      <c r="L35" s="9">
        <f t="shared" si="1"/>
        <v>80242.34</v>
      </c>
      <c r="M35" s="7" t="s">
        <v>133</v>
      </c>
      <c r="N35" s="7" t="s">
        <v>19</v>
      </c>
      <c r="O35" s="7" t="s">
        <v>43</v>
      </c>
      <c r="P35" s="2" t="s">
        <v>376</v>
      </c>
      <c r="Q35" s="11" t="s">
        <v>134</v>
      </c>
      <c r="R35" s="7" t="s">
        <v>52</v>
      </c>
    </row>
    <row r="36" spans="1:18" x14ac:dyDescent="0.25">
      <c r="A36" s="2" t="s">
        <v>23</v>
      </c>
      <c r="B36" s="2" t="s">
        <v>24</v>
      </c>
      <c r="C36" s="2" t="s">
        <v>25</v>
      </c>
      <c r="D36" s="3">
        <v>3300</v>
      </c>
      <c r="E36" s="4">
        <v>315.12</v>
      </c>
      <c r="F36" s="4">
        <f t="shared" si="0"/>
        <v>1039896</v>
      </c>
      <c r="G36" s="2" t="s">
        <v>395</v>
      </c>
      <c r="H36" s="2" t="s">
        <v>26</v>
      </c>
      <c r="I36" s="5">
        <v>13</v>
      </c>
      <c r="J36" s="3">
        <v>3193</v>
      </c>
      <c r="K36" s="4">
        <v>541.19000000000005</v>
      </c>
      <c r="L36" s="4">
        <f t="shared" si="1"/>
        <v>1728019.6700000002</v>
      </c>
      <c r="M36" s="2" t="s">
        <v>135</v>
      </c>
      <c r="N36" s="2" t="s">
        <v>50</v>
      </c>
      <c r="O36" s="2" t="s">
        <v>20</v>
      </c>
      <c r="P36" s="2" t="s">
        <v>375</v>
      </c>
      <c r="Q36" s="6" t="s">
        <v>132</v>
      </c>
      <c r="R36" s="2" t="s">
        <v>73</v>
      </c>
    </row>
    <row r="37" spans="1:18" x14ac:dyDescent="0.25">
      <c r="A37" s="7" t="s">
        <v>37</v>
      </c>
      <c r="B37" s="7" t="s">
        <v>38</v>
      </c>
      <c r="C37" s="7" t="s">
        <v>39</v>
      </c>
      <c r="D37" s="8">
        <v>1850</v>
      </c>
      <c r="E37" s="9">
        <v>95.16</v>
      </c>
      <c r="F37" s="9">
        <f t="shared" si="0"/>
        <v>176046</v>
      </c>
      <c r="G37" s="2" t="s">
        <v>395</v>
      </c>
      <c r="H37" s="7" t="s">
        <v>40</v>
      </c>
      <c r="I37" s="10">
        <v>16</v>
      </c>
      <c r="J37" s="8">
        <v>328</v>
      </c>
      <c r="K37" s="9">
        <v>36.22</v>
      </c>
      <c r="L37" s="9">
        <f t="shared" si="1"/>
        <v>11880.16</v>
      </c>
      <c r="M37" s="7" t="s">
        <v>136</v>
      </c>
      <c r="N37" s="7" t="s">
        <v>28</v>
      </c>
      <c r="O37" s="7" t="s">
        <v>43</v>
      </c>
      <c r="P37" s="2" t="s">
        <v>376</v>
      </c>
      <c r="Q37" s="11" t="s">
        <v>99</v>
      </c>
      <c r="R37" s="7" t="s">
        <v>81</v>
      </c>
    </row>
    <row r="38" spans="1:18" x14ac:dyDescent="0.25">
      <c r="A38" s="2" t="s">
        <v>106</v>
      </c>
      <c r="B38" s="7" t="s">
        <v>393</v>
      </c>
      <c r="C38" s="2" t="s">
        <v>108</v>
      </c>
      <c r="D38" s="3">
        <v>4600</v>
      </c>
      <c r="E38" s="4">
        <v>206.58</v>
      </c>
      <c r="F38" s="4">
        <f t="shared" si="0"/>
        <v>950268</v>
      </c>
      <c r="G38" s="2" t="s">
        <v>395</v>
      </c>
      <c r="H38" s="2" t="s">
        <v>109</v>
      </c>
      <c r="I38" s="5">
        <v>42</v>
      </c>
      <c r="J38" s="3">
        <v>3658</v>
      </c>
      <c r="K38" s="4">
        <v>8.84</v>
      </c>
      <c r="L38" s="4">
        <f t="shared" si="1"/>
        <v>32336.720000000001</v>
      </c>
      <c r="M38" s="2" t="s">
        <v>137</v>
      </c>
      <c r="N38" s="2" t="s">
        <v>101</v>
      </c>
      <c r="O38" s="2" t="s">
        <v>43</v>
      </c>
      <c r="P38" s="2" t="s">
        <v>376</v>
      </c>
      <c r="Q38" s="6" t="s">
        <v>121</v>
      </c>
      <c r="R38" s="2" t="s">
        <v>44</v>
      </c>
    </row>
    <row r="39" spans="1:18" x14ac:dyDescent="0.25">
      <c r="A39" s="7" t="s">
        <v>37</v>
      </c>
      <c r="B39" s="7" t="s">
        <v>38</v>
      </c>
      <c r="C39" s="7" t="s">
        <v>39</v>
      </c>
      <c r="D39" s="8">
        <v>3100</v>
      </c>
      <c r="E39" s="9">
        <v>97.68</v>
      </c>
      <c r="F39" s="9">
        <f t="shared" si="0"/>
        <v>302808</v>
      </c>
      <c r="G39" s="2" t="s">
        <v>395</v>
      </c>
      <c r="H39" s="7" t="s">
        <v>40</v>
      </c>
      <c r="I39" s="10">
        <v>29</v>
      </c>
      <c r="J39" s="8">
        <v>1346</v>
      </c>
      <c r="K39" s="9">
        <v>34.57</v>
      </c>
      <c r="L39" s="9">
        <f t="shared" si="1"/>
        <v>46531.22</v>
      </c>
      <c r="M39" s="7" t="s">
        <v>138</v>
      </c>
      <c r="N39" s="7" t="s">
        <v>42</v>
      </c>
      <c r="O39" s="7" t="s">
        <v>35</v>
      </c>
      <c r="P39" s="2" t="s">
        <v>376</v>
      </c>
      <c r="Q39" s="11" t="s">
        <v>139</v>
      </c>
      <c r="R39" s="7" t="s">
        <v>52</v>
      </c>
    </row>
    <row r="40" spans="1:18" x14ac:dyDescent="0.25">
      <c r="A40" s="2" t="s">
        <v>67</v>
      </c>
      <c r="B40" s="2" t="s">
        <v>68</v>
      </c>
      <c r="C40" s="2" t="s">
        <v>69</v>
      </c>
      <c r="D40" s="3">
        <v>5000</v>
      </c>
      <c r="E40" s="4">
        <v>453.6</v>
      </c>
      <c r="F40" s="4">
        <f t="shared" si="0"/>
        <v>2268000</v>
      </c>
      <c r="G40" s="2" t="s">
        <v>395</v>
      </c>
      <c r="H40" s="2" t="s">
        <v>70</v>
      </c>
      <c r="I40" s="5">
        <v>31</v>
      </c>
      <c r="J40" s="3">
        <v>3235</v>
      </c>
      <c r="K40" s="4">
        <v>2477.46</v>
      </c>
      <c r="L40" s="4">
        <f t="shared" si="1"/>
        <v>8014583.1000000006</v>
      </c>
      <c r="M40" s="2" t="s">
        <v>140</v>
      </c>
      <c r="N40" s="2" t="s">
        <v>19</v>
      </c>
      <c r="O40" s="2" t="s">
        <v>85</v>
      </c>
      <c r="P40" s="2" t="s">
        <v>376</v>
      </c>
      <c r="Q40" s="6" t="s">
        <v>29</v>
      </c>
      <c r="R40" s="2" t="s">
        <v>73</v>
      </c>
    </row>
    <row r="41" spans="1:18" x14ac:dyDescent="0.25">
      <c r="A41" s="7" t="s">
        <v>23</v>
      </c>
      <c r="B41" s="7" t="s">
        <v>24</v>
      </c>
      <c r="C41" s="7" t="s">
        <v>25</v>
      </c>
      <c r="D41" s="8">
        <v>2650</v>
      </c>
      <c r="E41" s="9">
        <v>313.82</v>
      </c>
      <c r="F41" s="9">
        <f t="shared" si="0"/>
        <v>831623</v>
      </c>
      <c r="G41" s="2" t="s">
        <v>395</v>
      </c>
      <c r="H41" s="7" t="s">
        <v>26</v>
      </c>
      <c r="I41" s="10">
        <v>14</v>
      </c>
      <c r="J41" s="8">
        <v>1945</v>
      </c>
      <c r="K41" s="9">
        <v>549.5</v>
      </c>
      <c r="L41" s="9">
        <f t="shared" si="1"/>
        <v>1068777.5</v>
      </c>
      <c r="M41" s="7" t="s">
        <v>141</v>
      </c>
      <c r="N41" s="7" t="s">
        <v>104</v>
      </c>
      <c r="O41" s="2" t="s">
        <v>377</v>
      </c>
      <c r="P41" s="2" t="s">
        <v>378</v>
      </c>
      <c r="Q41" s="11" t="s">
        <v>142</v>
      </c>
      <c r="R41" s="7" t="s">
        <v>44</v>
      </c>
    </row>
    <row r="42" spans="1:18" x14ac:dyDescent="0.25">
      <c r="A42" s="2" t="s">
        <v>59</v>
      </c>
      <c r="B42" s="2" t="s">
        <v>60</v>
      </c>
      <c r="C42" s="2" t="s">
        <v>61</v>
      </c>
      <c r="D42" s="3">
        <v>4750</v>
      </c>
      <c r="E42" s="4">
        <v>283.68</v>
      </c>
      <c r="F42" s="4">
        <f t="shared" si="0"/>
        <v>1347480</v>
      </c>
      <c r="G42" s="2" t="s">
        <v>395</v>
      </c>
      <c r="H42" s="2" t="s">
        <v>62</v>
      </c>
      <c r="I42" s="5">
        <v>39</v>
      </c>
      <c r="J42" s="3">
        <v>2425</v>
      </c>
      <c r="K42" s="4">
        <v>64.150000000000006</v>
      </c>
      <c r="L42" s="4">
        <f t="shared" si="1"/>
        <v>155563.75</v>
      </c>
      <c r="M42" s="2" t="s">
        <v>143</v>
      </c>
      <c r="N42" s="2" t="s">
        <v>42</v>
      </c>
      <c r="O42" s="2" t="s">
        <v>35</v>
      </c>
      <c r="P42" s="2" t="s">
        <v>376</v>
      </c>
      <c r="Q42" s="6" t="s">
        <v>102</v>
      </c>
      <c r="R42" s="2" t="s">
        <v>44</v>
      </c>
    </row>
    <row r="43" spans="1:18" x14ac:dyDescent="0.25">
      <c r="A43" s="2" t="s">
        <v>392</v>
      </c>
      <c r="B43" s="7" t="s">
        <v>15</v>
      </c>
      <c r="C43" s="7" t="s">
        <v>16</v>
      </c>
      <c r="D43" s="8">
        <v>2750</v>
      </c>
      <c r="E43" s="9">
        <v>133.57</v>
      </c>
      <c r="F43" s="9">
        <f t="shared" si="0"/>
        <v>367317.5</v>
      </c>
      <c r="G43" s="2" t="s">
        <v>395</v>
      </c>
      <c r="H43" s="7" t="s">
        <v>17</v>
      </c>
      <c r="I43" s="10">
        <v>13</v>
      </c>
      <c r="J43" s="8">
        <v>3554</v>
      </c>
      <c r="K43" s="9">
        <v>55.71</v>
      </c>
      <c r="L43" s="9">
        <f t="shared" si="1"/>
        <v>197993.34</v>
      </c>
      <c r="M43" s="7" t="s">
        <v>144</v>
      </c>
      <c r="N43" s="7" t="s">
        <v>75</v>
      </c>
      <c r="O43" s="7" t="s">
        <v>20</v>
      </c>
      <c r="P43" s="2" t="s">
        <v>375</v>
      </c>
      <c r="Q43" s="11" t="s">
        <v>78</v>
      </c>
      <c r="R43" s="7" t="s">
        <v>44</v>
      </c>
    </row>
    <row r="44" spans="1:18" x14ac:dyDescent="0.25">
      <c r="A44" s="2" t="s">
        <v>30</v>
      </c>
      <c r="B44" s="2" t="s">
        <v>31</v>
      </c>
      <c r="C44" s="2" t="s">
        <v>32</v>
      </c>
      <c r="D44" s="3">
        <v>1500</v>
      </c>
      <c r="E44" s="4">
        <v>107.41</v>
      </c>
      <c r="F44" s="4">
        <f t="shared" si="0"/>
        <v>161115</v>
      </c>
      <c r="G44" s="2" t="s">
        <v>395</v>
      </c>
      <c r="H44" s="2" t="s">
        <v>33</v>
      </c>
      <c r="I44" s="5">
        <v>21</v>
      </c>
      <c r="J44" s="3">
        <v>2809</v>
      </c>
      <c r="K44" s="4">
        <v>22.53</v>
      </c>
      <c r="L44" s="4">
        <f t="shared" si="1"/>
        <v>63286.770000000004</v>
      </c>
      <c r="M44" s="2" t="s">
        <v>145</v>
      </c>
      <c r="N44" s="2" t="s">
        <v>50</v>
      </c>
      <c r="O44" s="2" t="s">
        <v>35</v>
      </c>
      <c r="P44" s="2" t="s">
        <v>376</v>
      </c>
      <c r="Q44" s="6" t="s">
        <v>146</v>
      </c>
      <c r="R44" s="2" t="s">
        <v>52</v>
      </c>
    </row>
    <row r="45" spans="1:18" x14ac:dyDescent="0.25">
      <c r="A45" s="7" t="s">
        <v>45</v>
      </c>
      <c r="B45" s="7" t="s">
        <v>46</v>
      </c>
      <c r="C45" s="7" t="s">
        <v>47</v>
      </c>
      <c r="D45" s="8">
        <v>1950</v>
      </c>
      <c r="E45" s="9">
        <v>130.47</v>
      </c>
      <c r="F45" s="9">
        <f t="shared" si="0"/>
        <v>254416.5</v>
      </c>
      <c r="G45" s="2" t="s">
        <v>395</v>
      </c>
      <c r="H45" s="7" t="s">
        <v>48</v>
      </c>
      <c r="I45" s="10">
        <v>20</v>
      </c>
      <c r="J45" s="8">
        <v>4722</v>
      </c>
      <c r="K45" s="9">
        <v>180.72</v>
      </c>
      <c r="L45" s="9">
        <f t="shared" si="1"/>
        <v>853359.84</v>
      </c>
      <c r="M45" s="7" t="s">
        <v>147</v>
      </c>
      <c r="N45" s="7" t="s">
        <v>42</v>
      </c>
      <c r="O45" s="7" t="s">
        <v>35</v>
      </c>
      <c r="P45" s="2" t="s">
        <v>376</v>
      </c>
      <c r="Q45" s="11" t="s">
        <v>148</v>
      </c>
      <c r="R45" s="7" t="s">
        <v>22</v>
      </c>
    </row>
    <row r="46" spans="1:18" x14ac:dyDescent="0.25">
      <c r="A46" s="2" t="s">
        <v>89</v>
      </c>
      <c r="B46" s="2" t="s">
        <v>90</v>
      </c>
      <c r="C46" s="7" t="s">
        <v>394</v>
      </c>
      <c r="D46" s="3">
        <v>2250</v>
      </c>
      <c r="E46" s="4">
        <v>112.23</v>
      </c>
      <c r="F46" s="4">
        <f t="shared" si="0"/>
        <v>252517.5</v>
      </c>
      <c r="G46" s="2" t="s">
        <v>395</v>
      </c>
      <c r="H46" s="2" t="s">
        <v>92</v>
      </c>
      <c r="I46" s="5">
        <v>10</v>
      </c>
      <c r="J46" s="3">
        <v>2045</v>
      </c>
      <c r="K46" s="4">
        <v>44.94</v>
      </c>
      <c r="L46" s="4">
        <f t="shared" si="1"/>
        <v>91902.299999999988</v>
      </c>
      <c r="M46" s="2" t="s">
        <v>149</v>
      </c>
      <c r="N46" s="2" t="s">
        <v>104</v>
      </c>
      <c r="O46" s="2" t="s">
        <v>20</v>
      </c>
      <c r="P46" s="2" t="s">
        <v>375</v>
      </c>
      <c r="Q46" s="6" t="s">
        <v>150</v>
      </c>
      <c r="R46" s="2" t="s">
        <v>44</v>
      </c>
    </row>
    <row r="47" spans="1:18" x14ac:dyDescent="0.25">
      <c r="A47" s="7" t="s">
        <v>30</v>
      </c>
      <c r="B47" s="7" t="s">
        <v>31</v>
      </c>
      <c r="C47" s="7" t="s">
        <v>32</v>
      </c>
      <c r="D47" s="8">
        <v>4550</v>
      </c>
      <c r="E47" s="9">
        <v>104.45</v>
      </c>
      <c r="F47" s="9">
        <f t="shared" si="0"/>
        <v>475247.5</v>
      </c>
      <c r="G47" s="2" t="s">
        <v>395</v>
      </c>
      <c r="H47" s="7" t="s">
        <v>33</v>
      </c>
      <c r="I47" s="10">
        <v>14</v>
      </c>
      <c r="J47" s="8">
        <v>517</v>
      </c>
      <c r="K47" s="9">
        <v>22.19</v>
      </c>
      <c r="L47" s="9">
        <f t="shared" si="1"/>
        <v>11472.230000000001</v>
      </c>
      <c r="M47" s="7" t="s">
        <v>151</v>
      </c>
      <c r="N47" s="7" t="s">
        <v>50</v>
      </c>
      <c r="O47" s="7" t="s">
        <v>20</v>
      </c>
      <c r="P47" s="2" t="s">
        <v>375</v>
      </c>
      <c r="Q47" s="11" t="s">
        <v>152</v>
      </c>
      <c r="R47" s="7" t="s">
        <v>81</v>
      </c>
    </row>
    <row r="48" spans="1:18" x14ac:dyDescent="0.25">
      <c r="A48" s="2" t="s">
        <v>392</v>
      </c>
      <c r="B48" s="2" t="s">
        <v>15</v>
      </c>
      <c r="C48" s="2" t="s">
        <v>16</v>
      </c>
      <c r="D48" s="3">
        <v>1450</v>
      </c>
      <c r="E48" s="4">
        <v>144.19</v>
      </c>
      <c r="F48" s="4">
        <f t="shared" si="0"/>
        <v>209075.5</v>
      </c>
      <c r="G48" s="2" t="s">
        <v>395</v>
      </c>
      <c r="H48" s="2" t="s">
        <v>17</v>
      </c>
      <c r="I48" s="5">
        <v>14</v>
      </c>
      <c r="J48" s="3">
        <v>3344</v>
      </c>
      <c r="K48" s="4">
        <v>56.8</v>
      </c>
      <c r="L48" s="4">
        <f t="shared" si="1"/>
        <v>189939.19999999998</v>
      </c>
      <c r="M48" s="2" t="s">
        <v>153</v>
      </c>
      <c r="N48" s="2" t="s">
        <v>19</v>
      </c>
      <c r="O48" s="2" t="s">
        <v>35</v>
      </c>
      <c r="P48" s="2" t="s">
        <v>376</v>
      </c>
      <c r="Q48" s="6" t="s">
        <v>154</v>
      </c>
      <c r="R48" s="2" t="s">
        <v>52</v>
      </c>
    </row>
    <row r="49" spans="1:18" x14ac:dyDescent="0.25">
      <c r="A49" s="7" t="s">
        <v>89</v>
      </c>
      <c r="B49" s="7" t="s">
        <v>90</v>
      </c>
      <c r="C49" s="7" t="s">
        <v>394</v>
      </c>
      <c r="D49" s="8">
        <v>4550</v>
      </c>
      <c r="E49" s="9">
        <v>105.71</v>
      </c>
      <c r="F49" s="9">
        <f t="shared" si="0"/>
        <v>480980.5</v>
      </c>
      <c r="G49" s="2" t="s">
        <v>395</v>
      </c>
      <c r="H49" s="7" t="s">
        <v>92</v>
      </c>
      <c r="I49" s="10">
        <v>27</v>
      </c>
      <c r="J49" s="8">
        <v>4104</v>
      </c>
      <c r="K49" s="9">
        <v>44.39</v>
      </c>
      <c r="L49" s="9">
        <f t="shared" si="1"/>
        <v>182176.56</v>
      </c>
      <c r="M49" s="7" t="s">
        <v>155</v>
      </c>
      <c r="N49" s="7" t="s">
        <v>19</v>
      </c>
      <c r="O49" s="7" t="s">
        <v>43</v>
      </c>
      <c r="P49" s="2" t="s">
        <v>376</v>
      </c>
      <c r="Q49" s="11" t="s">
        <v>156</v>
      </c>
      <c r="R49" s="7" t="s">
        <v>22</v>
      </c>
    </row>
    <row r="50" spans="1:18" x14ac:dyDescent="0.25">
      <c r="A50" s="2" t="s">
        <v>392</v>
      </c>
      <c r="B50" s="2" t="s">
        <v>15</v>
      </c>
      <c r="C50" s="2" t="s">
        <v>16</v>
      </c>
      <c r="D50" s="3">
        <v>4850</v>
      </c>
      <c r="E50" s="4">
        <v>143.13</v>
      </c>
      <c r="F50" s="4">
        <f t="shared" si="0"/>
        <v>694180.5</v>
      </c>
      <c r="G50" s="2" t="s">
        <v>395</v>
      </c>
      <c r="H50" s="2" t="s">
        <v>17</v>
      </c>
      <c r="I50" s="5">
        <v>19</v>
      </c>
      <c r="J50" s="3">
        <v>2157</v>
      </c>
      <c r="K50" s="4">
        <v>55.71</v>
      </c>
      <c r="L50" s="4">
        <f t="shared" si="1"/>
        <v>120166.47</v>
      </c>
      <c r="M50" s="2" t="s">
        <v>157</v>
      </c>
      <c r="N50" s="2" t="s">
        <v>19</v>
      </c>
      <c r="O50" s="2" t="s">
        <v>20</v>
      </c>
      <c r="P50" s="2" t="s">
        <v>375</v>
      </c>
      <c r="Q50" s="6" t="s">
        <v>158</v>
      </c>
      <c r="R50" s="2" t="s">
        <v>52</v>
      </c>
    </row>
    <row r="51" spans="1:18" x14ac:dyDescent="0.25">
      <c r="A51" s="7" t="s">
        <v>89</v>
      </c>
      <c r="B51" s="7" t="s">
        <v>90</v>
      </c>
      <c r="C51" s="7" t="s">
        <v>394</v>
      </c>
      <c r="D51" s="8">
        <v>3850</v>
      </c>
      <c r="E51" s="9">
        <v>109.77</v>
      </c>
      <c r="F51" s="9">
        <f t="shared" si="0"/>
        <v>422614.5</v>
      </c>
      <c r="G51" s="2" t="s">
        <v>395</v>
      </c>
      <c r="H51" s="7" t="s">
        <v>92</v>
      </c>
      <c r="I51" s="10">
        <v>39</v>
      </c>
      <c r="J51" s="8">
        <v>2174</v>
      </c>
      <c r="K51" s="9">
        <v>44.72</v>
      </c>
      <c r="L51" s="9">
        <f t="shared" si="1"/>
        <v>97221.28</v>
      </c>
      <c r="M51" s="7" t="s">
        <v>159</v>
      </c>
      <c r="N51" s="7" t="s">
        <v>101</v>
      </c>
      <c r="O51" s="7" t="s">
        <v>20</v>
      </c>
      <c r="P51" s="2" t="s">
        <v>375</v>
      </c>
      <c r="Q51" s="11" t="s">
        <v>99</v>
      </c>
      <c r="R51" s="7" t="s">
        <v>81</v>
      </c>
    </row>
    <row r="52" spans="1:18" x14ac:dyDescent="0.25">
      <c r="A52" s="2" t="s">
        <v>53</v>
      </c>
      <c r="B52" s="2" t="s">
        <v>54</v>
      </c>
      <c r="C52" s="2" t="s">
        <v>55</v>
      </c>
      <c r="D52" s="3">
        <v>4350</v>
      </c>
      <c r="E52" s="4">
        <v>82.28</v>
      </c>
      <c r="F52" s="4">
        <f t="shared" si="0"/>
        <v>357918</v>
      </c>
      <c r="G52" s="2" t="s">
        <v>395</v>
      </c>
      <c r="H52" s="2" t="s">
        <v>56</v>
      </c>
      <c r="I52" s="5">
        <v>36</v>
      </c>
      <c r="J52" s="3">
        <v>4928</v>
      </c>
      <c r="K52" s="4">
        <v>150.02000000000001</v>
      </c>
      <c r="L52" s="4">
        <f t="shared" si="1"/>
        <v>739298.56</v>
      </c>
      <c r="M52" s="2" t="s">
        <v>160</v>
      </c>
      <c r="N52" s="2" t="s">
        <v>19</v>
      </c>
      <c r="O52" s="2" t="s">
        <v>43</v>
      </c>
      <c r="P52" s="2" t="s">
        <v>376</v>
      </c>
      <c r="Q52" s="6" t="s">
        <v>161</v>
      </c>
      <c r="R52" s="2" t="s">
        <v>44</v>
      </c>
    </row>
    <row r="53" spans="1:18" x14ac:dyDescent="0.25">
      <c r="A53" s="7" t="s">
        <v>59</v>
      </c>
      <c r="B53" s="7" t="s">
        <v>60</v>
      </c>
      <c r="C53" s="7" t="s">
        <v>61</v>
      </c>
      <c r="D53" s="8">
        <v>1200</v>
      </c>
      <c r="E53" s="9">
        <v>276.08</v>
      </c>
      <c r="F53" s="9">
        <f t="shared" si="0"/>
        <v>331296</v>
      </c>
      <c r="G53" s="2" t="s">
        <v>395</v>
      </c>
      <c r="H53" s="7" t="s">
        <v>62</v>
      </c>
      <c r="I53" s="10">
        <v>37</v>
      </c>
      <c r="J53" s="8">
        <v>1562</v>
      </c>
      <c r="K53" s="9">
        <v>64.8</v>
      </c>
      <c r="L53" s="9">
        <f t="shared" si="1"/>
        <v>101217.59999999999</v>
      </c>
      <c r="M53" s="7" t="s">
        <v>162</v>
      </c>
      <c r="N53" s="7" t="s">
        <v>42</v>
      </c>
      <c r="O53" s="2" t="s">
        <v>377</v>
      </c>
      <c r="P53" s="2" t="s">
        <v>378</v>
      </c>
      <c r="Q53" s="11" t="s">
        <v>163</v>
      </c>
      <c r="R53" s="7" t="s">
        <v>73</v>
      </c>
    </row>
    <row r="54" spans="1:18" x14ac:dyDescent="0.25">
      <c r="A54" s="2" t="s">
        <v>67</v>
      </c>
      <c r="B54" s="2" t="s">
        <v>68</v>
      </c>
      <c r="C54" s="2" t="s">
        <v>69</v>
      </c>
      <c r="D54" s="3">
        <v>4400</v>
      </c>
      <c r="E54" s="4">
        <v>430.48</v>
      </c>
      <c r="F54" s="4">
        <f t="shared" si="0"/>
        <v>1894112</v>
      </c>
      <c r="G54" s="2" t="s">
        <v>395</v>
      </c>
      <c r="H54" s="2" t="s">
        <v>70</v>
      </c>
      <c r="I54" s="5">
        <v>28</v>
      </c>
      <c r="J54" s="3">
        <v>132</v>
      </c>
      <c r="K54" s="4">
        <v>2436.3200000000002</v>
      </c>
      <c r="L54" s="4">
        <f t="shared" si="1"/>
        <v>321594.24000000005</v>
      </c>
      <c r="M54" s="2" t="s">
        <v>164</v>
      </c>
      <c r="N54" s="2" t="s">
        <v>104</v>
      </c>
      <c r="O54" s="2" t="s">
        <v>20</v>
      </c>
      <c r="P54" s="2" t="s">
        <v>375</v>
      </c>
      <c r="Q54" s="6" t="s">
        <v>165</v>
      </c>
      <c r="R54" s="2" t="s">
        <v>81</v>
      </c>
    </row>
    <row r="55" spans="1:18" x14ac:dyDescent="0.25">
      <c r="A55" s="7" t="s">
        <v>67</v>
      </c>
      <c r="B55" s="7" t="s">
        <v>68</v>
      </c>
      <c r="C55" s="7" t="s">
        <v>69</v>
      </c>
      <c r="D55" s="8">
        <v>2650</v>
      </c>
      <c r="E55" s="9">
        <v>462.9</v>
      </c>
      <c r="F55" s="9">
        <f t="shared" si="0"/>
        <v>1226685</v>
      </c>
      <c r="G55" s="2" t="s">
        <v>395</v>
      </c>
      <c r="H55" s="7" t="s">
        <v>70</v>
      </c>
      <c r="I55" s="10">
        <v>24</v>
      </c>
      <c r="J55" s="8">
        <v>3473</v>
      </c>
      <c r="K55" s="9">
        <v>2429.69</v>
      </c>
      <c r="L55" s="9">
        <f t="shared" si="1"/>
        <v>8438313.370000001</v>
      </c>
      <c r="M55" s="7" t="s">
        <v>166</v>
      </c>
      <c r="N55" s="7" t="s">
        <v>75</v>
      </c>
      <c r="O55" s="2" t="s">
        <v>377</v>
      </c>
      <c r="P55" s="2" t="s">
        <v>378</v>
      </c>
      <c r="Q55" s="11" t="s">
        <v>167</v>
      </c>
      <c r="R55" s="7" t="s">
        <v>73</v>
      </c>
    </row>
    <row r="56" spans="1:18" x14ac:dyDescent="0.25">
      <c r="A56" s="2" t="s">
        <v>392</v>
      </c>
      <c r="B56" s="2" t="s">
        <v>15</v>
      </c>
      <c r="C56" s="2" t="s">
        <v>16</v>
      </c>
      <c r="D56" s="3">
        <v>3150</v>
      </c>
      <c r="E56" s="4">
        <v>142.63</v>
      </c>
      <c r="F56" s="4">
        <f t="shared" si="0"/>
        <v>449284.5</v>
      </c>
      <c r="G56" s="2" t="s">
        <v>395</v>
      </c>
      <c r="H56" s="2" t="s">
        <v>17</v>
      </c>
      <c r="I56" s="5">
        <v>41</v>
      </c>
      <c r="J56" s="3">
        <v>3102</v>
      </c>
      <c r="K56" s="4">
        <v>56.61</v>
      </c>
      <c r="L56" s="4">
        <f t="shared" si="1"/>
        <v>175604.22</v>
      </c>
      <c r="M56" s="2" t="s">
        <v>168</v>
      </c>
      <c r="N56" s="2" t="s">
        <v>28</v>
      </c>
      <c r="O56" s="2" t="s">
        <v>35</v>
      </c>
      <c r="P56" s="2" t="s">
        <v>376</v>
      </c>
      <c r="Q56" s="6" t="s">
        <v>169</v>
      </c>
      <c r="R56" s="2" t="s">
        <v>81</v>
      </c>
    </row>
    <row r="57" spans="1:18" x14ac:dyDescent="0.25">
      <c r="A57" s="7" t="s">
        <v>45</v>
      </c>
      <c r="B57" s="7" t="s">
        <v>46</v>
      </c>
      <c r="C57" s="7" t="s">
        <v>47</v>
      </c>
      <c r="D57" s="8">
        <v>4050</v>
      </c>
      <c r="E57" s="9">
        <v>127.63</v>
      </c>
      <c r="F57" s="9">
        <f t="shared" si="0"/>
        <v>516901.5</v>
      </c>
      <c r="G57" s="2" t="s">
        <v>395</v>
      </c>
      <c r="H57" s="7" t="s">
        <v>48</v>
      </c>
      <c r="I57" s="10">
        <v>41</v>
      </c>
      <c r="J57" s="8">
        <v>1183</v>
      </c>
      <c r="K57" s="9">
        <v>183.02</v>
      </c>
      <c r="L57" s="9">
        <f t="shared" si="1"/>
        <v>216512.66</v>
      </c>
      <c r="M57" s="7" t="s">
        <v>170</v>
      </c>
      <c r="N57" s="7" t="s">
        <v>75</v>
      </c>
      <c r="O57" s="7" t="s">
        <v>35</v>
      </c>
      <c r="P57" s="2" t="s">
        <v>376</v>
      </c>
      <c r="Q57" s="11" t="s">
        <v>171</v>
      </c>
      <c r="R57" s="7" t="s">
        <v>44</v>
      </c>
    </row>
    <row r="58" spans="1:18" x14ac:dyDescent="0.25">
      <c r="A58" s="2" t="s">
        <v>392</v>
      </c>
      <c r="B58" s="2" t="s">
        <v>15</v>
      </c>
      <c r="C58" s="2" t="s">
        <v>16</v>
      </c>
      <c r="D58" s="3">
        <v>4550</v>
      </c>
      <c r="E58" s="4">
        <v>140.83000000000001</v>
      </c>
      <c r="F58" s="4">
        <f t="shared" si="0"/>
        <v>640776.5</v>
      </c>
      <c r="G58" s="2" t="s">
        <v>395</v>
      </c>
      <c r="H58" s="2" t="s">
        <v>17</v>
      </c>
      <c r="I58" s="5">
        <v>40</v>
      </c>
      <c r="J58" s="3">
        <v>4355</v>
      </c>
      <c r="K58" s="4">
        <v>56.52</v>
      </c>
      <c r="L58" s="4">
        <f t="shared" si="1"/>
        <v>246144.6</v>
      </c>
      <c r="M58" s="2" t="s">
        <v>172</v>
      </c>
      <c r="N58" s="2" t="s">
        <v>104</v>
      </c>
      <c r="O58" s="2" t="s">
        <v>85</v>
      </c>
      <c r="P58" s="2" t="s">
        <v>376</v>
      </c>
      <c r="Q58" s="6" t="s">
        <v>173</v>
      </c>
      <c r="R58" s="2" t="s">
        <v>44</v>
      </c>
    </row>
    <row r="59" spans="1:18" x14ac:dyDescent="0.25">
      <c r="A59" s="7" t="s">
        <v>106</v>
      </c>
      <c r="B59" s="7" t="s">
        <v>393</v>
      </c>
      <c r="C59" s="7" t="s">
        <v>108</v>
      </c>
      <c r="D59" s="8">
        <v>3050</v>
      </c>
      <c r="E59" s="9">
        <v>212.47</v>
      </c>
      <c r="F59" s="9">
        <f t="shared" si="0"/>
        <v>648033.5</v>
      </c>
      <c r="G59" s="2" t="s">
        <v>395</v>
      </c>
      <c r="H59" s="7" t="s">
        <v>109</v>
      </c>
      <c r="I59" s="10">
        <v>39</v>
      </c>
      <c r="J59" s="8">
        <v>2727</v>
      </c>
      <c r="K59" s="9">
        <v>8.4700000000000006</v>
      </c>
      <c r="L59" s="9">
        <f t="shared" si="1"/>
        <v>23097.690000000002</v>
      </c>
      <c r="M59" s="7" t="s">
        <v>174</v>
      </c>
      <c r="N59" s="7" t="s">
        <v>50</v>
      </c>
      <c r="O59" s="7" t="s">
        <v>85</v>
      </c>
      <c r="P59" s="2" t="s">
        <v>376</v>
      </c>
      <c r="Q59" s="11" t="s">
        <v>121</v>
      </c>
      <c r="R59" s="7" t="s">
        <v>52</v>
      </c>
    </row>
    <row r="60" spans="1:18" x14ac:dyDescent="0.25">
      <c r="A60" s="2" t="s">
        <v>59</v>
      </c>
      <c r="B60" s="2" t="s">
        <v>60</v>
      </c>
      <c r="C60" s="2" t="s">
        <v>61</v>
      </c>
      <c r="D60" s="3">
        <v>3300</v>
      </c>
      <c r="E60" s="4">
        <v>290.94</v>
      </c>
      <c r="F60" s="4">
        <f t="shared" si="0"/>
        <v>960102</v>
      </c>
      <c r="G60" s="2" t="s">
        <v>395</v>
      </c>
      <c r="H60" s="2" t="s">
        <v>62</v>
      </c>
      <c r="I60" s="5">
        <v>19</v>
      </c>
      <c r="J60" s="3">
        <v>4863</v>
      </c>
      <c r="K60" s="4">
        <v>65.069999999999993</v>
      </c>
      <c r="L60" s="4">
        <f t="shared" si="1"/>
        <v>316435.40999999997</v>
      </c>
      <c r="M60" s="2" t="s">
        <v>175</v>
      </c>
      <c r="N60" s="2" t="s">
        <v>28</v>
      </c>
      <c r="O60" s="2" t="s">
        <v>43</v>
      </c>
      <c r="P60" s="2" t="s">
        <v>376</v>
      </c>
      <c r="Q60" s="6" t="s">
        <v>176</v>
      </c>
      <c r="R60" s="2" t="s">
        <v>73</v>
      </c>
    </row>
    <row r="61" spans="1:18" x14ac:dyDescent="0.25">
      <c r="A61" s="2" t="s">
        <v>392</v>
      </c>
      <c r="B61" s="7" t="s">
        <v>15</v>
      </c>
      <c r="C61" s="7" t="s">
        <v>16</v>
      </c>
      <c r="D61" s="8">
        <v>4350</v>
      </c>
      <c r="E61" s="9">
        <v>138.65</v>
      </c>
      <c r="F61" s="9">
        <f t="shared" si="0"/>
        <v>603127.5</v>
      </c>
      <c r="G61" s="2" t="s">
        <v>395</v>
      </c>
      <c r="H61" s="7" t="s">
        <v>17</v>
      </c>
      <c r="I61" s="10">
        <v>14</v>
      </c>
      <c r="J61" s="8">
        <v>1916</v>
      </c>
      <c r="K61" s="9">
        <v>54.23</v>
      </c>
      <c r="L61" s="9">
        <f t="shared" si="1"/>
        <v>103904.68</v>
      </c>
      <c r="M61" s="7" t="s">
        <v>177</v>
      </c>
      <c r="N61" s="7" t="s">
        <v>104</v>
      </c>
      <c r="O61" s="7" t="s">
        <v>35</v>
      </c>
      <c r="P61" s="2" t="s">
        <v>376</v>
      </c>
      <c r="Q61" s="11" t="s">
        <v>178</v>
      </c>
      <c r="R61" s="7" t="s">
        <v>44</v>
      </c>
    </row>
    <row r="62" spans="1:18" x14ac:dyDescent="0.25">
      <c r="A62" s="2" t="s">
        <v>53</v>
      </c>
      <c r="B62" s="2" t="s">
        <v>54</v>
      </c>
      <c r="C62" s="2" t="s">
        <v>55</v>
      </c>
      <c r="D62" s="3">
        <v>2550</v>
      </c>
      <c r="E62" s="4">
        <v>86.12</v>
      </c>
      <c r="F62" s="4">
        <f t="shared" si="0"/>
        <v>219606</v>
      </c>
      <c r="G62" s="2" t="s">
        <v>395</v>
      </c>
      <c r="H62" s="2" t="s">
        <v>56</v>
      </c>
      <c r="I62" s="5">
        <v>26</v>
      </c>
      <c r="J62" s="3">
        <v>3048</v>
      </c>
      <c r="K62" s="4">
        <v>144.41999999999999</v>
      </c>
      <c r="L62" s="4">
        <f t="shared" si="1"/>
        <v>440192.16</v>
      </c>
      <c r="M62" s="2" t="s">
        <v>179</v>
      </c>
      <c r="N62" s="2" t="s">
        <v>75</v>
      </c>
      <c r="O62" s="2" t="s">
        <v>35</v>
      </c>
      <c r="P62" s="2" t="s">
        <v>376</v>
      </c>
      <c r="Q62" s="6" t="s">
        <v>180</v>
      </c>
      <c r="R62" s="2" t="s">
        <v>44</v>
      </c>
    </row>
    <row r="63" spans="1:18" x14ac:dyDescent="0.25">
      <c r="A63" s="7" t="s">
        <v>23</v>
      </c>
      <c r="B63" s="7" t="s">
        <v>24</v>
      </c>
      <c r="C63" s="7" t="s">
        <v>25</v>
      </c>
      <c r="D63" s="8">
        <v>3600</v>
      </c>
      <c r="E63" s="9">
        <v>319.32</v>
      </c>
      <c r="F63" s="9">
        <f t="shared" si="0"/>
        <v>1149552</v>
      </c>
      <c r="G63" s="2" t="s">
        <v>395</v>
      </c>
      <c r="H63" s="7" t="s">
        <v>26</v>
      </c>
      <c r="I63" s="10">
        <v>12</v>
      </c>
      <c r="J63" s="8">
        <v>1493</v>
      </c>
      <c r="K63" s="9">
        <v>533.08000000000004</v>
      </c>
      <c r="L63" s="9">
        <f t="shared" si="1"/>
        <v>795888.44000000006</v>
      </c>
      <c r="M63" s="7" t="s">
        <v>181</v>
      </c>
      <c r="N63" s="7" t="s">
        <v>75</v>
      </c>
      <c r="O63" s="7" t="s">
        <v>43</v>
      </c>
      <c r="P63" s="2" t="s">
        <v>376</v>
      </c>
      <c r="Q63" s="11" t="s">
        <v>182</v>
      </c>
      <c r="R63" s="7" t="s">
        <v>73</v>
      </c>
    </row>
    <row r="64" spans="1:18" x14ac:dyDescent="0.25">
      <c r="A64" s="2" t="s">
        <v>37</v>
      </c>
      <c r="B64" s="2" t="s">
        <v>38</v>
      </c>
      <c r="C64" s="2" t="s">
        <v>39</v>
      </c>
      <c r="D64" s="3">
        <v>2850</v>
      </c>
      <c r="E64" s="4">
        <v>94.24</v>
      </c>
      <c r="F64" s="4">
        <f t="shared" si="0"/>
        <v>268584</v>
      </c>
      <c r="G64" s="2" t="s">
        <v>395</v>
      </c>
      <c r="H64" s="2" t="s">
        <v>40</v>
      </c>
      <c r="I64" s="5">
        <v>14</v>
      </c>
      <c r="J64" s="3">
        <v>1330</v>
      </c>
      <c r="K64" s="4">
        <v>34.94</v>
      </c>
      <c r="L64" s="4">
        <f t="shared" si="1"/>
        <v>46470.2</v>
      </c>
      <c r="M64" s="2" t="s">
        <v>183</v>
      </c>
      <c r="N64" s="2" t="s">
        <v>101</v>
      </c>
      <c r="O64" s="2" t="s">
        <v>43</v>
      </c>
      <c r="P64" s="2" t="s">
        <v>376</v>
      </c>
      <c r="Q64" s="6" t="s">
        <v>72</v>
      </c>
      <c r="R64" s="2" t="s">
        <v>44</v>
      </c>
    </row>
    <row r="65" spans="1:18" x14ac:dyDescent="0.25">
      <c r="A65" s="7" t="s">
        <v>67</v>
      </c>
      <c r="B65" s="7" t="s">
        <v>68</v>
      </c>
      <c r="C65" s="7" t="s">
        <v>69</v>
      </c>
      <c r="D65" s="8">
        <v>3200</v>
      </c>
      <c r="E65" s="9">
        <v>439.73</v>
      </c>
      <c r="F65" s="9">
        <f t="shared" si="0"/>
        <v>1407136</v>
      </c>
      <c r="G65" s="2" t="s">
        <v>395</v>
      </c>
      <c r="H65" s="7" t="s">
        <v>70</v>
      </c>
      <c r="I65" s="10">
        <v>26</v>
      </c>
      <c r="J65" s="8">
        <v>4457</v>
      </c>
      <c r="K65" s="9">
        <v>2496.77</v>
      </c>
      <c r="L65" s="9">
        <f t="shared" si="1"/>
        <v>11128103.890000001</v>
      </c>
      <c r="M65" s="7" t="s">
        <v>184</v>
      </c>
      <c r="N65" s="7" t="s">
        <v>104</v>
      </c>
      <c r="O65" s="7" t="s">
        <v>85</v>
      </c>
      <c r="P65" s="2" t="s">
        <v>376</v>
      </c>
      <c r="Q65" s="11" t="s">
        <v>154</v>
      </c>
      <c r="R65" s="7" t="s">
        <v>52</v>
      </c>
    </row>
    <row r="66" spans="1:18" x14ac:dyDescent="0.25">
      <c r="A66" s="2" t="s">
        <v>30</v>
      </c>
      <c r="B66" s="2" t="s">
        <v>31</v>
      </c>
      <c r="C66" s="2" t="s">
        <v>32</v>
      </c>
      <c r="D66" s="3">
        <v>1500</v>
      </c>
      <c r="E66" s="4">
        <v>99.85</v>
      </c>
      <c r="F66" s="4">
        <f t="shared" ref="F66:F129" si="2">D66*E66</f>
        <v>149775</v>
      </c>
      <c r="G66" s="2" t="s">
        <v>395</v>
      </c>
      <c r="H66" s="2" t="s">
        <v>33</v>
      </c>
      <c r="I66" s="5">
        <v>38</v>
      </c>
      <c r="J66" s="3">
        <v>2399</v>
      </c>
      <c r="K66" s="4">
        <v>21.17</v>
      </c>
      <c r="L66" s="4">
        <f t="shared" ref="L66:L129" si="3">J66*K66</f>
        <v>50786.83</v>
      </c>
      <c r="M66" s="2" t="s">
        <v>185</v>
      </c>
      <c r="N66" s="2" t="s">
        <v>104</v>
      </c>
      <c r="O66" s="2" t="s">
        <v>377</v>
      </c>
      <c r="P66" s="2" t="s">
        <v>378</v>
      </c>
      <c r="Q66" s="6" t="s">
        <v>86</v>
      </c>
      <c r="R66" s="2" t="s">
        <v>44</v>
      </c>
    </row>
    <row r="67" spans="1:18" x14ac:dyDescent="0.25">
      <c r="A67" s="7" t="s">
        <v>37</v>
      </c>
      <c r="B67" s="7" t="s">
        <v>38</v>
      </c>
      <c r="C67" s="7" t="s">
        <v>39</v>
      </c>
      <c r="D67" s="8">
        <v>4150</v>
      </c>
      <c r="E67" s="9">
        <v>95.91</v>
      </c>
      <c r="F67" s="9">
        <f t="shared" si="2"/>
        <v>398026.5</v>
      </c>
      <c r="G67" s="2" t="s">
        <v>395</v>
      </c>
      <c r="H67" s="7" t="s">
        <v>40</v>
      </c>
      <c r="I67" s="10">
        <v>14</v>
      </c>
      <c r="J67" s="8">
        <v>4012</v>
      </c>
      <c r="K67" s="9">
        <v>35.630000000000003</v>
      </c>
      <c r="L67" s="9">
        <f t="shared" si="3"/>
        <v>142947.56</v>
      </c>
      <c r="M67" s="7" t="s">
        <v>186</v>
      </c>
      <c r="N67" s="7" t="s">
        <v>19</v>
      </c>
      <c r="O67" s="2" t="s">
        <v>377</v>
      </c>
      <c r="P67" s="2" t="s">
        <v>378</v>
      </c>
      <c r="Q67" s="11" t="s">
        <v>187</v>
      </c>
      <c r="R67" s="7" t="s">
        <v>44</v>
      </c>
    </row>
    <row r="68" spans="1:18" x14ac:dyDescent="0.25">
      <c r="A68" s="2" t="s">
        <v>89</v>
      </c>
      <c r="B68" s="2" t="s">
        <v>90</v>
      </c>
      <c r="C68" s="7" t="s">
        <v>394</v>
      </c>
      <c r="D68" s="3">
        <v>1300</v>
      </c>
      <c r="E68" s="4">
        <v>108.51</v>
      </c>
      <c r="F68" s="4">
        <f t="shared" si="2"/>
        <v>141063</v>
      </c>
      <c r="G68" s="2" t="s">
        <v>395</v>
      </c>
      <c r="H68" s="2" t="s">
        <v>92</v>
      </c>
      <c r="I68" s="5">
        <v>32</v>
      </c>
      <c r="J68" s="3">
        <v>889</v>
      </c>
      <c r="K68" s="4">
        <v>43.72</v>
      </c>
      <c r="L68" s="4">
        <f t="shared" si="3"/>
        <v>38867.08</v>
      </c>
      <c r="M68" s="2" t="s">
        <v>188</v>
      </c>
      <c r="N68" s="2" t="s">
        <v>75</v>
      </c>
      <c r="O68" s="2" t="s">
        <v>20</v>
      </c>
      <c r="P68" s="2" t="s">
        <v>375</v>
      </c>
      <c r="Q68" s="6" t="s">
        <v>189</v>
      </c>
      <c r="R68" s="2" t="s">
        <v>73</v>
      </c>
    </row>
    <row r="69" spans="1:18" x14ac:dyDescent="0.25">
      <c r="A69" s="7" t="s">
        <v>89</v>
      </c>
      <c r="B69" s="7" t="s">
        <v>90</v>
      </c>
      <c r="C69" s="7" t="s">
        <v>394</v>
      </c>
      <c r="D69" s="8">
        <v>3600</v>
      </c>
      <c r="E69" s="9">
        <v>109.25</v>
      </c>
      <c r="F69" s="9">
        <f t="shared" si="2"/>
        <v>393300</v>
      </c>
      <c r="G69" s="2" t="s">
        <v>395</v>
      </c>
      <c r="H69" s="7" t="s">
        <v>92</v>
      </c>
      <c r="I69" s="10">
        <v>11</v>
      </c>
      <c r="J69" s="8">
        <v>3207</v>
      </c>
      <c r="K69" s="9">
        <v>46.08</v>
      </c>
      <c r="L69" s="9">
        <f t="shared" si="3"/>
        <v>147778.56</v>
      </c>
      <c r="M69" s="7" t="s">
        <v>190</v>
      </c>
      <c r="N69" s="7" t="s">
        <v>75</v>
      </c>
      <c r="O69" s="2" t="s">
        <v>377</v>
      </c>
      <c r="P69" s="2" t="s">
        <v>378</v>
      </c>
      <c r="Q69" s="11" t="s">
        <v>191</v>
      </c>
      <c r="R69" s="7" t="s">
        <v>22</v>
      </c>
    </row>
    <row r="70" spans="1:18" x14ac:dyDescent="0.25">
      <c r="A70" s="2" t="s">
        <v>37</v>
      </c>
      <c r="B70" s="2" t="s">
        <v>38</v>
      </c>
      <c r="C70" s="2" t="s">
        <v>39</v>
      </c>
      <c r="D70" s="3">
        <v>3900</v>
      </c>
      <c r="E70" s="4">
        <v>98.96</v>
      </c>
      <c r="F70" s="4">
        <f t="shared" si="2"/>
        <v>385944</v>
      </c>
      <c r="G70" s="2" t="s">
        <v>395</v>
      </c>
      <c r="H70" s="2" t="s">
        <v>40</v>
      </c>
      <c r="I70" s="5">
        <v>16</v>
      </c>
      <c r="J70" s="3">
        <v>3054</v>
      </c>
      <c r="K70" s="4">
        <v>36.18</v>
      </c>
      <c r="L70" s="4">
        <f t="shared" si="3"/>
        <v>110493.72</v>
      </c>
      <c r="M70" s="2" t="s">
        <v>192</v>
      </c>
      <c r="N70" s="2" t="s">
        <v>75</v>
      </c>
      <c r="O70" s="2" t="s">
        <v>43</v>
      </c>
      <c r="P70" s="2" t="s">
        <v>376</v>
      </c>
      <c r="Q70" s="6" t="s">
        <v>94</v>
      </c>
      <c r="R70" s="2" t="s">
        <v>22</v>
      </c>
    </row>
    <row r="71" spans="1:18" x14ac:dyDescent="0.25">
      <c r="A71" s="7" t="s">
        <v>45</v>
      </c>
      <c r="B71" s="7" t="s">
        <v>46</v>
      </c>
      <c r="C71" s="7" t="s">
        <v>47</v>
      </c>
      <c r="D71" s="8">
        <v>2750</v>
      </c>
      <c r="E71" s="9">
        <v>134</v>
      </c>
      <c r="F71" s="9">
        <f t="shared" si="2"/>
        <v>368500</v>
      </c>
      <c r="G71" s="2" t="s">
        <v>395</v>
      </c>
      <c r="H71" s="7" t="s">
        <v>48</v>
      </c>
      <c r="I71" s="10">
        <v>12</v>
      </c>
      <c r="J71" s="8">
        <v>1208</v>
      </c>
      <c r="K71" s="9">
        <v>185.16</v>
      </c>
      <c r="L71" s="9">
        <f t="shared" si="3"/>
        <v>223673.28</v>
      </c>
      <c r="M71" s="7" t="s">
        <v>193</v>
      </c>
      <c r="N71" s="7" t="s">
        <v>50</v>
      </c>
      <c r="O71" s="7" t="s">
        <v>85</v>
      </c>
      <c r="P71" s="2" t="s">
        <v>376</v>
      </c>
      <c r="Q71" s="11" t="s">
        <v>152</v>
      </c>
      <c r="R71" s="7" t="s">
        <v>52</v>
      </c>
    </row>
    <row r="72" spans="1:18" x14ac:dyDescent="0.25">
      <c r="A72" s="2" t="s">
        <v>37</v>
      </c>
      <c r="B72" s="2" t="s">
        <v>38</v>
      </c>
      <c r="C72" s="2" t="s">
        <v>39</v>
      </c>
      <c r="D72" s="3">
        <v>1500</v>
      </c>
      <c r="E72" s="4">
        <v>99.51</v>
      </c>
      <c r="F72" s="4">
        <f t="shared" si="2"/>
        <v>149265</v>
      </c>
      <c r="G72" s="2" t="s">
        <v>395</v>
      </c>
      <c r="H72" s="2" t="s">
        <v>40</v>
      </c>
      <c r="I72" s="5">
        <v>25</v>
      </c>
      <c r="J72" s="3">
        <v>965</v>
      </c>
      <c r="K72" s="4">
        <v>34.54</v>
      </c>
      <c r="L72" s="4">
        <f t="shared" si="3"/>
        <v>33331.1</v>
      </c>
      <c r="M72" s="2" t="s">
        <v>194</v>
      </c>
      <c r="N72" s="2" t="s">
        <v>19</v>
      </c>
      <c r="O72" s="2" t="s">
        <v>85</v>
      </c>
      <c r="P72" s="2" t="s">
        <v>376</v>
      </c>
      <c r="Q72" s="6" t="s">
        <v>195</v>
      </c>
      <c r="R72" s="2" t="s">
        <v>52</v>
      </c>
    </row>
    <row r="73" spans="1:18" x14ac:dyDescent="0.25">
      <c r="A73" s="7" t="s">
        <v>37</v>
      </c>
      <c r="B73" s="7" t="s">
        <v>38</v>
      </c>
      <c r="C73" s="7" t="s">
        <v>39</v>
      </c>
      <c r="D73" s="8">
        <v>1200</v>
      </c>
      <c r="E73" s="9">
        <v>97.75</v>
      </c>
      <c r="F73" s="9">
        <f t="shared" si="2"/>
        <v>117300</v>
      </c>
      <c r="G73" s="2" t="s">
        <v>395</v>
      </c>
      <c r="H73" s="7" t="s">
        <v>40</v>
      </c>
      <c r="I73" s="10">
        <v>21</v>
      </c>
      <c r="J73" s="8">
        <v>4531</v>
      </c>
      <c r="K73" s="9">
        <v>35.369999999999997</v>
      </c>
      <c r="L73" s="9">
        <f t="shared" si="3"/>
        <v>160261.47</v>
      </c>
      <c r="M73" s="7" t="s">
        <v>196</v>
      </c>
      <c r="N73" s="7" t="s">
        <v>101</v>
      </c>
      <c r="O73" s="7" t="s">
        <v>43</v>
      </c>
      <c r="P73" s="2" t="s">
        <v>376</v>
      </c>
      <c r="Q73" s="11" t="s">
        <v>197</v>
      </c>
      <c r="R73" s="7" t="s">
        <v>52</v>
      </c>
    </row>
    <row r="74" spans="1:18" x14ac:dyDescent="0.25">
      <c r="A74" s="2" t="s">
        <v>392</v>
      </c>
      <c r="B74" s="2" t="s">
        <v>15</v>
      </c>
      <c r="C74" s="2" t="s">
        <v>16</v>
      </c>
      <c r="D74" s="3">
        <v>2450</v>
      </c>
      <c r="E74" s="4">
        <v>142.6</v>
      </c>
      <c r="F74" s="4">
        <f t="shared" si="2"/>
        <v>349370</v>
      </c>
      <c r="G74" s="2" t="s">
        <v>395</v>
      </c>
      <c r="H74" s="2" t="s">
        <v>17</v>
      </c>
      <c r="I74" s="5">
        <v>10</v>
      </c>
      <c r="J74" s="3">
        <v>1244</v>
      </c>
      <c r="K74" s="4">
        <v>53.66</v>
      </c>
      <c r="L74" s="4">
        <f t="shared" si="3"/>
        <v>66753.039999999994</v>
      </c>
      <c r="M74" s="2" t="s">
        <v>198</v>
      </c>
      <c r="N74" s="2" t="s">
        <v>19</v>
      </c>
      <c r="O74" s="2" t="s">
        <v>85</v>
      </c>
      <c r="P74" s="2" t="s">
        <v>376</v>
      </c>
      <c r="Q74" s="6" t="s">
        <v>83</v>
      </c>
      <c r="R74" s="2" t="s">
        <v>73</v>
      </c>
    </row>
    <row r="75" spans="1:18" x14ac:dyDescent="0.25">
      <c r="A75" s="7" t="s">
        <v>45</v>
      </c>
      <c r="B75" s="7" t="s">
        <v>46</v>
      </c>
      <c r="C75" s="7" t="s">
        <v>47</v>
      </c>
      <c r="D75" s="8">
        <v>4550</v>
      </c>
      <c r="E75" s="9">
        <v>124.93</v>
      </c>
      <c r="F75" s="9">
        <f t="shared" si="2"/>
        <v>568431.5</v>
      </c>
      <c r="G75" s="2" t="s">
        <v>395</v>
      </c>
      <c r="H75" s="7" t="s">
        <v>48</v>
      </c>
      <c r="I75" s="10">
        <v>34</v>
      </c>
      <c r="J75" s="8">
        <v>3963</v>
      </c>
      <c r="K75" s="9">
        <v>177.62</v>
      </c>
      <c r="L75" s="9">
        <f t="shared" si="3"/>
        <v>703908.06</v>
      </c>
      <c r="M75" s="7" t="s">
        <v>199</v>
      </c>
      <c r="N75" s="7" t="s">
        <v>28</v>
      </c>
      <c r="O75" s="7" t="s">
        <v>43</v>
      </c>
      <c r="P75" s="2" t="s">
        <v>376</v>
      </c>
      <c r="Q75" s="11" t="s">
        <v>111</v>
      </c>
      <c r="R75" s="7" t="s">
        <v>73</v>
      </c>
    </row>
    <row r="76" spans="1:18" x14ac:dyDescent="0.25">
      <c r="A76" s="2" t="s">
        <v>45</v>
      </c>
      <c r="B76" s="2" t="s">
        <v>46</v>
      </c>
      <c r="C76" s="2" t="s">
        <v>47</v>
      </c>
      <c r="D76" s="3">
        <v>4250</v>
      </c>
      <c r="E76" s="4">
        <v>127.29</v>
      </c>
      <c r="F76" s="4">
        <f t="shared" si="2"/>
        <v>540982.5</v>
      </c>
      <c r="G76" s="2" t="s">
        <v>395</v>
      </c>
      <c r="H76" s="2" t="s">
        <v>48</v>
      </c>
      <c r="I76" s="5">
        <v>38</v>
      </c>
      <c r="J76" s="3">
        <v>1275</v>
      </c>
      <c r="K76" s="4">
        <v>187.01</v>
      </c>
      <c r="L76" s="4">
        <f t="shared" si="3"/>
        <v>238437.75</v>
      </c>
      <c r="M76" s="2" t="s">
        <v>200</v>
      </c>
      <c r="N76" s="2" t="s">
        <v>101</v>
      </c>
      <c r="O76" s="2" t="s">
        <v>43</v>
      </c>
      <c r="P76" s="2" t="s">
        <v>376</v>
      </c>
      <c r="Q76" s="6" t="s">
        <v>201</v>
      </c>
      <c r="R76" s="2" t="s">
        <v>73</v>
      </c>
    </row>
    <row r="77" spans="1:18" x14ac:dyDescent="0.25">
      <c r="A77" s="2" t="s">
        <v>392</v>
      </c>
      <c r="B77" s="7" t="s">
        <v>15</v>
      </c>
      <c r="C77" s="7" t="s">
        <v>16</v>
      </c>
      <c r="D77" s="8">
        <v>2400</v>
      </c>
      <c r="E77" s="9">
        <v>137.88999999999999</v>
      </c>
      <c r="F77" s="9">
        <f t="shared" si="2"/>
        <v>330935.99999999994</v>
      </c>
      <c r="G77" s="2" t="s">
        <v>395</v>
      </c>
      <c r="H77" s="7" t="s">
        <v>17</v>
      </c>
      <c r="I77" s="10">
        <v>17</v>
      </c>
      <c r="J77" s="8">
        <v>4912</v>
      </c>
      <c r="K77" s="9">
        <v>52.83</v>
      </c>
      <c r="L77" s="9">
        <f t="shared" si="3"/>
        <v>259500.96</v>
      </c>
      <c r="M77" s="7" t="s">
        <v>202</v>
      </c>
      <c r="N77" s="7" t="s">
        <v>50</v>
      </c>
      <c r="O77" s="2" t="s">
        <v>377</v>
      </c>
      <c r="P77" s="2" t="s">
        <v>378</v>
      </c>
      <c r="Q77" s="11" t="s">
        <v>191</v>
      </c>
      <c r="R77" s="7" t="s">
        <v>44</v>
      </c>
    </row>
    <row r="78" spans="1:18" x14ac:dyDescent="0.25">
      <c r="A78" s="2" t="s">
        <v>106</v>
      </c>
      <c r="B78" s="7" t="s">
        <v>393</v>
      </c>
      <c r="C78" s="2" t="s">
        <v>108</v>
      </c>
      <c r="D78" s="3">
        <v>3050</v>
      </c>
      <c r="E78" s="4">
        <v>199.89</v>
      </c>
      <c r="F78" s="4">
        <f t="shared" si="2"/>
        <v>609664.5</v>
      </c>
      <c r="G78" s="2" t="s">
        <v>395</v>
      </c>
      <c r="H78" s="2" t="s">
        <v>109</v>
      </c>
      <c r="I78" s="5">
        <v>29</v>
      </c>
      <c r="J78" s="3">
        <v>1226</v>
      </c>
      <c r="K78" s="4">
        <v>8.24</v>
      </c>
      <c r="L78" s="4">
        <f t="shared" si="3"/>
        <v>10102.24</v>
      </c>
      <c r="M78" s="2" t="s">
        <v>203</v>
      </c>
      <c r="N78" s="2" t="s">
        <v>75</v>
      </c>
      <c r="O78" s="2" t="s">
        <v>85</v>
      </c>
      <c r="P78" s="2" t="s">
        <v>376</v>
      </c>
      <c r="Q78" s="6" t="s">
        <v>204</v>
      </c>
      <c r="R78" s="2" t="s">
        <v>73</v>
      </c>
    </row>
    <row r="79" spans="1:18" x14ac:dyDescent="0.25">
      <c r="A79" s="2" t="s">
        <v>392</v>
      </c>
      <c r="B79" s="7" t="s">
        <v>15</v>
      </c>
      <c r="C79" s="7" t="s">
        <v>16</v>
      </c>
      <c r="D79" s="8">
        <v>2900</v>
      </c>
      <c r="E79" s="9">
        <v>135.08000000000001</v>
      </c>
      <c r="F79" s="9">
        <f t="shared" si="2"/>
        <v>391732.00000000006</v>
      </c>
      <c r="G79" s="2" t="s">
        <v>395</v>
      </c>
      <c r="H79" s="7" t="s">
        <v>17</v>
      </c>
      <c r="I79" s="10">
        <v>17</v>
      </c>
      <c r="J79" s="8">
        <v>678</v>
      </c>
      <c r="K79" s="9">
        <v>52.87</v>
      </c>
      <c r="L79" s="9">
        <f t="shared" si="3"/>
        <v>35845.86</v>
      </c>
      <c r="M79" s="7" t="s">
        <v>205</v>
      </c>
      <c r="N79" s="7" t="s">
        <v>101</v>
      </c>
      <c r="O79" s="7" t="s">
        <v>20</v>
      </c>
      <c r="P79" s="2" t="s">
        <v>375</v>
      </c>
      <c r="Q79" s="11" t="s">
        <v>206</v>
      </c>
      <c r="R79" s="7" t="s">
        <v>52</v>
      </c>
    </row>
    <row r="80" spans="1:18" x14ac:dyDescent="0.25">
      <c r="A80" s="2" t="s">
        <v>89</v>
      </c>
      <c r="B80" s="2" t="s">
        <v>90</v>
      </c>
      <c r="C80" s="7" t="s">
        <v>394</v>
      </c>
      <c r="D80" s="3">
        <v>1950</v>
      </c>
      <c r="E80" s="4">
        <v>110.27</v>
      </c>
      <c r="F80" s="4">
        <f t="shared" si="2"/>
        <v>215026.5</v>
      </c>
      <c r="G80" s="2" t="s">
        <v>395</v>
      </c>
      <c r="H80" s="2" t="s">
        <v>92</v>
      </c>
      <c r="I80" s="5">
        <v>35</v>
      </c>
      <c r="J80" s="3">
        <v>1765</v>
      </c>
      <c r="K80" s="4">
        <v>45.97</v>
      </c>
      <c r="L80" s="4">
        <f t="shared" si="3"/>
        <v>81137.05</v>
      </c>
      <c r="M80" s="2" t="s">
        <v>207</v>
      </c>
      <c r="N80" s="2" t="s">
        <v>101</v>
      </c>
      <c r="O80" s="2" t="s">
        <v>43</v>
      </c>
      <c r="P80" s="2" t="s">
        <v>376</v>
      </c>
      <c r="Q80" s="6" t="s">
        <v>208</v>
      </c>
      <c r="R80" s="2" t="s">
        <v>52</v>
      </c>
    </row>
    <row r="81" spans="1:18" x14ac:dyDescent="0.25">
      <c r="A81" s="7" t="s">
        <v>37</v>
      </c>
      <c r="B81" s="7" t="s">
        <v>38</v>
      </c>
      <c r="C81" s="7" t="s">
        <v>39</v>
      </c>
      <c r="D81" s="8">
        <v>2550</v>
      </c>
      <c r="E81" s="9">
        <v>98.16</v>
      </c>
      <c r="F81" s="9">
        <f t="shared" si="2"/>
        <v>250308</v>
      </c>
      <c r="G81" s="2" t="s">
        <v>395</v>
      </c>
      <c r="H81" s="7" t="s">
        <v>40</v>
      </c>
      <c r="I81" s="10">
        <v>26</v>
      </c>
      <c r="J81" s="8">
        <v>636</v>
      </c>
      <c r="K81" s="9">
        <v>35.86</v>
      </c>
      <c r="L81" s="9">
        <f t="shared" si="3"/>
        <v>22806.959999999999</v>
      </c>
      <c r="M81" s="7" t="s">
        <v>209</v>
      </c>
      <c r="N81" s="7" t="s">
        <v>101</v>
      </c>
      <c r="O81" s="2" t="s">
        <v>377</v>
      </c>
      <c r="P81" s="2" t="s">
        <v>378</v>
      </c>
      <c r="Q81" s="11" t="s">
        <v>86</v>
      </c>
      <c r="R81" s="7" t="s">
        <v>22</v>
      </c>
    </row>
    <row r="82" spans="1:18" x14ac:dyDescent="0.25">
      <c r="A82" s="2" t="s">
        <v>53</v>
      </c>
      <c r="B82" s="2" t="s">
        <v>54</v>
      </c>
      <c r="C82" s="2" t="s">
        <v>55</v>
      </c>
      <c r="D82" s="3">
        <v>3950</v>
      </c>
      <c r="E82" s="4">
        <v>87.87</v>
      </c>
      <c r="F82" s="4">
        <f t="shared" si="2"/>
        <v>347086.5</v>
      </c>
      <c r="G82" s="2" t="s">
        <v>395</v>
      </c>
      <c r="H82" s="2" t="s">
        <v>56</v>
      </c>
      <c r="I82" s="5">
        <v>42</v>
      </c>
      <c r="J82" s="3">
        <v>4966</v>
      </c>
      <c r="K82" s="4">
        <v>155.55000000000001</v>
      </c>
      <c r="L82" s="4">
        <f t="shared" si="3"/>
        <v>772461.3</v>
      </c>
      <c r="M82" s="2" t="s">
        <v>210</v>
      </c>
      <c r="N82" s="2" t="s">
        <v>75</v>
      </c>
      <c r="O82" s="2" t="s">
        <v>377</v>
      </c>
      <c r="P82" s="2" t="s">
        <v>378</v>
      </c>
      <c r="Q82" s="6" t="s">
        <v>211</v>
      </c>
      <c r="R82" s="2" t="s">
        <v>81</v>
      </c>
    </row>
    <row r="83" spans="1:18" x14ac:dyDescent="0.25">
      <c r="A83" s="7" t="s">
        <v>89</v>
      </c>
      <c r="B83" s="7" t="s">
        <v>90</v>
      </c>
      <c r="C83" s="7" t="s">
        <v>394</v>
      </c>
      <c r="D83" s="8">
        <v>1050</v>
      </c>
      <c r="E83" s="9">
        <v>113.32</v>
      </c>
      <c r="F83" s="9">
        <f t="shared" si="2"/>
        <v>118986</v>
      </c>
      <c r="G83" s="2" t="s">
        <v>395</v>
      </c>
      <c r="H83" s="7" t="s">
        <v>92</v>
      </c>
      <c r="I83" s="10">
        <v>28</v>
      </c>
      <c r="J83" s="8">
        <v>4446</v>
      </c>
      <c r="K83" s="9">
        <v>46.6</v>
      </c>
      <c r="L83" s="9">
        <f t="shared" si="3"/>
        <v>207183.6</v>
      </c>
      <c r="M83" s="7" t="s">
        <v>212</v>
      </c>
      <c r="N83" s="7" t="s">
        <v>75</v>
      </c>
      <c r="O83" s="7" t="s">
        <v>43</v>
      </c>
      <c r="P83" s="2" t="s">
        <v>376</v>
      </c>
      <c r="Q83" s="11" t="s">
        <v>213</v>
      </c>
      <c r="R83" s="7" t="s">
        <v>81</v>
      </c>
    </row>
    <row r="84" spans="1:18" x14ac:dyDescent="0.25">
      <c r="A84" s="2" t="s">
        <v>67</v>
      </c>
      <c r="B84" s="2" t="s">
        <v>68</v>
      </c>
      <c r="C84" s="2" t="s">
        <v>69</v>
      </c>
      <c r="D84" s="3">
        <v>4150</v>
      </c>
      <c r="E84" s="4">
        <v>463.31</v>
      </c>
      <c r="F84" s="4">
        <f t="shared" si="2"/>
        <v>1922736.5</v>
      </c>
      <c r="G84" s="2" t="s">
        <v>395</v>
      </c>
      <c r="H84" s="2" t="s">
        <v>70</v>
      </c>
      <c r="I84" s="5">
        <v>33</v>
      </c>
      <c r="J84" s="3">
        <v>3382</v>
      </c>
      <c r="K84" s="4">
        <v>2495.87</v>
      </c>
      <c r="L84" s="4">
        <f t="shared" si="3"/>
        <v>8441032.3399999999</v>
      </c>
      <c r="M84" s="2" t="s">
        <v>214</v>
      </c>
      <c r="N84" s="2" t="s">
        <v>50</v>
      </c>
      <c r="O84" s="2" t="s">
        <v>20</v>
      </c>
      <c r="P84" s="2" t="s">
        <v>375</v>
      </c>
      <c r="Q84" s="6" t="s">
        <v>215</v>
      </c>
      <c r="R84" s="2" t="s">
        <v>44</v>
      </c>
    </row>
    <row r="85" spans="1:18" x14ac:dyDescent="0.25">
      <c r="A85" s="7" t="s">
        <v>106</v>
      </c>
      <c r="B85" s="7" t="s">
        <v>393</v>
      </c>
      <c r="C85" s="7" t="s">
        <v>108</v>
      </c>
      <c r="D85" s="8">
        <v>4350</v>
      </c>
      <c r="E85" s="9">
        <v>208.56</v>
      </c>
      <c r="F85" s="9">
        <f t="shared" si="2"/>
        <v>907236</v>
      </c>
      <c r="G85" s="2" t="s">
        <v>395</v>
      </c>
      <c r="H85" s="7" t="s">
        <v>109</v>
      </c>
      <c r="I85" s="10">
        <v>14</v>
      </c>
      <c r="J85" s="8">
        <v>310</v>
      </c>
      <c r="K85" s="9">
        <v>8.5399999999999991</v>
      </c>
      <c r="L85" s="9">
        <f t="shared" si="3"/>
        <v>2647.3999999999996</v>
      </c>
      <c r="M85" s="7" t="s">
        <v>216</v>
      </c>
      <c r="N85" s="7" t="s">
        <v>19</v>
      </c>
      <c r="O85" s="2" t="s">
        <v>377</v>
      </c>
      <c r="P85" s="2" t="s">
        <v>378</v>
      </c>
      <c r="Q85" s="11" t="s">
        <v>217</v>
      </c>
      <c r="R85" s="7" t="s">
        <v>52</v>
      </c>
    </row>
    <row r="86" spans="1:18" x14ac:dyDescent="0.25">
      <c r="A86" s="2" t="s">
        <v>23</v>
      </c>
      <c r="B86" s="2" t="s">
        <v>24</v>
      </c>
      <c r="C86" s="2" t="s">
        <v>25</v>
      </c>
      <c r="D86" s="3">
        <v>2700</v>
      </c>
      <c r="E86" s="4">
        <v>308.88</v>
      </c>
      <c r="F86" s="4">
        <f t="shared" si="2"/>
        <v>833976</v>
      </c>
      <c r="G86" s="2" t="s">
        <v>395</v>
      </c>
      <c r="H86" s="2" t="s">
        <v>26</v>
      </c>
      <c r="I86" s="5">
        <v>25</v>
      </c>
      <c r="J86" s="3">
        <v>4149</v>
      </c>
      <c r="K86" s="4">
        <v>559.66</v>
      </c>
      <c r="L86" s="4">
        <f t="shared" si="3"/>
        <v>2322029.34</v>
      </c>
      <c r="M86" s="2" t="s">
        <v>218</v>
      </c>
      <c r="N86" s="2" t="s">
        <v>104</v>
      </c>
      <c r="O86" s="2" t="s">
        <v>43</v>
      </c>
      <c r="P86" s="2" t="s">
        <v>376</v>
      </c>
      <c r="Q86" s="6" t="s">
        <v>219</v>
      </c>
      <c r="R86" s="2" t="s">
        <v>81</v>
      </c>
    </row>
    <row r="87" spans="1:18" x14ac:dyDescent="0.25">
      <c r="A87" s="7" t="s">
        <v>30</v>
      </c>
      <c r="B87" s="7" t="s">
        <v>31</v>
      </c>
      <c r="C87" s="7" t="s">
        <v>32</v>
      </c>
      <c r="D87" s="8">
        <v>4200</v>
      </c>
      <c r="E87" s="9">
        <v>105.21</v>
      </c>
      <c r="F87" s="9">
        <f t="shared" si="2"/>
        <v>441882</v>
      </c>
      <c r="G87" s="2" t="s">
        <v>395</v>
      </c>
      <c r="H87" s="7" t="s">
        <v>33</v>
      </c>
      <c r="I87" s="10">
        <v>37</v>
      </c>
      <c r="J87" s="8">
        <v>2963</v>
      </c>
      <c r="K87" s="9">
        <v>22.42</v>
      </c>
      <c r="L87" s="9">
        <f t="shared" si="3"/>
        <v>66430.460000000006</v>
      </c>
      <c r="M87" s="7" t="s">
        <v>220</v>
      </c>
      <c r="N87" s="7" t="s">
        <v>19</v>
      </c>
      <c r="O87" s="7" t="s">
        <v>35</v>
      </c>
      <c r="P87" s="2" t="s">
        <v>376</v>
      </c>
      <c r="Q87" s="11" t="s">
        <v>163</v>
      </c>
      <c r="R87" s="7" t="s">
        <v>52</v>
      </c>
    </row>
    <row r="88" spans="1:18" x14ac:dyDescent="0.25">
      <c r="A88" s="2" t="s">
        <v>53</v>
      </c>
      <c r="B88" s="2" t="s">
        <v>54</v>
      </c>
      <c r="C88" s="2" t="s">
        <v>55</v>
      </c>
      <c r="D88" s="3">
        <v>4800</v>
      </c>
      <c r="E88" s="4">
        <v>84.55</v>
      </c>
      <c r="F88" s="4">
        <f t="shared" si="2"/>
        <v>405840</v>
      </c>
      <c r="G88" s="2" t="s">
        <v>395</v>
      </c>
      <c r="H88" s="2" t="s">
        <v>56</v>
      </c>
      <c r="I88" s="5">
        <v>10</v>
      </c>
      <c r="J88" s="3">
        <v>2370</v>
      </c>
      <c r="K88" s="4">
        <v>151.97</v>
      </c>
      <c r="L88" s="4">
        <f t="shared" si="3"/>
        <v>360168.9</v>
      </c>
      <c r="M88" s="2" t="s">
        <v>221</v>
      </c>
      <c r="N88" s="2" t="s">
        <v>75</v>
      </c>
      <c r="O88" s="2" t="s">
        <v>85</v>
      </c>
      <c r="P88" s="2" t="s">
        <v>376</v>
      </c>
      <c r="Q88" s="6" t="s">
        <v>86</v>
      </c>
      <c r="R88" s="2" t="s">
        <v>52</v>
      </c>
    </row>
    <row r="89" spans="1:18" x14ac:dyDescent="0.25">
      <c r="A89" s="7" t="s">
        <v>30</v>
      </c>
      <c r="B89" s="7" t="s">
        <v>31</v>
      </c>
      <c r="C89" s="7" t="s">
        <v>32</v>
      </c>
      <c r="D89" s="8">
        <v>4250</v>
      </c>
      <c r="E89" s="9">
        <v>107.78</v>
      </c>
      <c r="F89" s="9">
        <f t="shared" si="2"/>
        <v>458065</v>
      </c>
      <c r="G89" s="2" t="s">
        <v>395</v>
      </c>
      <c r="H89" s="7" t="s">
        <v>33</v>
      </c>
      <c r="I89" s="10">
        <v>14</v>
      </c>
      <c r="J89" s="8">
        <v>4632</v>
      </c>
      <c r="K89" s="9">
        <v>21.39</v>
      </c>
      <c r="L89" s="9">
        <f t="shared" si="3"/>
        <v>99078.48</v>
      </c>
      <c r="M89" s="7" t="s">
        <v>222</v>
      </c>
      <c r="N89" s="7" t="s">
        <v>75</v>
      </c>
      <c r="O89" s="7" t="s">
        <v>85</v>
      </c>
      <c r="P89" s="2" t="s">
        <v>376</v>
      </c>
      <c r="Q89" s="11" t="s">
        <v>72</v>
      </c>
      <c r="R89" s="7" t="s">
        <v>73</v>
      </c>
    </row>
    <row r="90" spans="1:18" x14ac:dyDescent="0.25">
      <c r="A90" s="2" t="s">
        <v>67</v>
      </c>
      <c r="B90" s="2" t="s">
        <v>68</v>
      </c>
      <c r="C90" s="2" t="s">
        <v>69</v>
      </c>
      <c r="D90" s="3">
        <v>3150</v>
      </c>
      <c r="E90" s="4">
        <v>469.64</v>
      </c>
      <c r="F90" s="4">
        <f t="shared" si="2"/>
        <v>1479366</v>
      </c>
      <c r="G90" s="2" t="s">
        <v>395</v>
      </c>
      <c r="H90" s="2" t="s">
        <v>70</v>
      </c>
      <c r="I90" s="5">
        <v>10</v>
      </c>
      <c r="J90" s="3">
        <v>2936</v>
      </c>
      <c r="K90" s="4">
        <v>2592.77</v>
      </c>
      <c r="L90" s="4">
        <f t="shared" si="3"/>
        <v>7612372.7199999997</v>
      </c>
      <c r="M90" s="2" t="s">
        <v>223</v>
      </c>
      <c r="N90" s="2" t="s">
        <v>28</v>
      </c>
      <c r="O90" s="2" t="s">
        <v>377</v>
      </c>
      <c r="P90" s="2" t="s">
        <v>378</v>
      </c>
      <c r="Q90" s="6" t="s">
        <v>115</v>
      </c>
      <c r="R90" s="2" t="s">
        <v>81</v>
      </c>
    </row>
    <row r="91" spans="1:18" x14ac:dyDescent="0.25">
      <c r="A91" s="7" t="s">
        <v>89</v>
      </c>
      <c r="B91" s="7" t="s">
        <v>90</v>
      </c>
      <c r="C91" s="7" t="s">
        <v>394</v>
      </c>
      <c r="D91" s="8">
        <v>2400</v>
      </c>
      <c r="E91" s="9">
        <v>107.39</v>
      </c>
      <c r="F91" s="9">
        <f t="shared" si="2"/>
        <v>257736</v>
      </c>
      <c r="G91" s="2" t="s">
        <v>395</v>
      </c>
      <c r="H91" s="7" t="s">
        <v>92</v>
      </c>
      <c r="I91" s="10">
        <v>12</v>
      </c>
      <c r="J91" s="8">
        <v>3825</v>
      </c>
      <c r="K91" s="9">
        <v>44.55</v>
      </c>
      <c r="L91" s="9">
        <f t="shared" si="3"/>
        <v>170403.75</v>
      </c>
      <c r="M91" s="7" t="s">
        <v>224</v>
      </c>
      <c r="N91" s="7" t="s">
        <v>42</v>
      </c>
      <c r="O91" s="7" t="s">
        <v>43</v>
      </c>
      <c r="P91" s="2" t="s">
        <v>376</v>
      </c>
      <c r="Q91" s="11" t="s">
        <v>225</v>
      </c>
      <c r="R91" s="7" t="s">
        <v>52</v>
      </c>
    </row>
    <row r="92" spans="1:18" x14ac:dyDescent="0.25">
      <c r="A92" s="2" t="s">
        <v>45</v>
      </c>
      <c r="B92" s="2" t="s">
        <v>46</v>
      </c>
      <c r="C92" s="2" t="s">
        <v>47</v>
      </c>
      <c r="D92" s="3">
        <v>1300</v>
      </c>
      <c r="E92" s="4">
        <v>128.31</v>
      </c>
      <c r="F92" s="4">
        <f t="shared" si="2"/>
        <v>166803</v>
      </c>
      <c r="G92" s="2" t="s">
        <v>395</v>
      </c>
      <c r="H92" s="2" t="s">
        <v>48</v>
      </c>
      <c r="I92" s="5">
        <v>19</v>
      </c>
      <c r="J92" s="3">
        <v>3537</v>
      </c>
      <c r="K92" s="4">
        <v>186.61</v>
      </c>
      <c r="L92" s="4">
        <f t="shared" si="3"/>
        <v>660039.57000000007</v>
      </c>
      <c r="M92" s="2" t="s">
        <v>226</v>
      </c>
      <c r="N92" s="2" t="s">
        <v>50</v>
      </c>
      <c r="O92" s="2" t="s">
        <v>85</v>
      </c>
      <c r="P92" s="2" t="s">
        <v>376</v>
      </c>
      <c r="Q92" s="6" t="s">
        <v>169</v>
      </c>
      <c r="R92" s="2" t="s">
        <v>73</v>
      </c>
    </row>
    <row r="93" spans="1:18" x14ac:dyDescent="0.25">
      <c r="A93" s="7" t="s">
        <v>67</v>
      </c>
      <c r="B93" s="7" t="s">
        <v>68</v>
      </c>
      <c r="C93" s="7" t="s">
        <v>69</v>
      </c>
      <c r="D93" s="8">
        <v>4000</v>
      </c>
      <c r="E93" s="9">
        <v>433.34</v>
      </c>
      <c r="F93" s="9">
        <f t="shared" si="2"/>
        <v>1733360</v>
      </c>
      <c r="G93" s="2" t="s">
        <v>395</v>
      </c>
      <c r="H93" s="7" t="s">
        <v>70</v>
      </c>
      <c r="I93" s="10">
        <v>24</v>
      </c>
      <c r="J93" s="8">
        <v>4781</v>
      </c>
      <c r="K93" s="9">
        <v>2452.2600000000002</v>
      </c>
      <c r="L93" s="9">
        <f t="shared" si="3"/>
        <v>11724255.060000001</v>
      </c>
      <c r="M93" s="7" t="s">
        <v>227</v>
      </c>
      <c r="N93" s="7" t="s">
        <v>42</v>
      </c>
      <c r="O93" s="7" t="s">
        <v>85</v>
      </c>
      <c r="P93" s="2" t="s">
        <v>376</v>
      </c>
      <c r="Q93" s="11" t="s">
        <v>228</v>
      </c>
      <c r="R93" s="7" t="s">
        <v>73</v>
      </c>
    </row>
    <row r="94" spans="1:18" x14ac:dyDescent="0.25">
      <c r="A94" s="2" t="s">
        <v>59</v>
      </c>
      <c r="B94" s="2" t="s">
        <v>60</v>
      </c>
      <c r="C94" s="2" t="s">
        <v>61</v>
      </c>
      <c r="D94" s="3">
        <v>1200</v>
      </c>
      <c r="E94" s="4">
        <v>290.52</v>
      </c>
      <c r="F94" s="4">
        <f t="shared" si="2"/>
        <v>348624</v>
      </c>
      <c r="G94" s="2" t="s">
        <v>395</v>
      </c>
      <c r="H94" s="2" t="s">
        <v>62</v>
      </c>
      <c r="I94" s="5">
        <v>27</v>
      </c>
      <c r="J94" s="3">
        <v>3064</v>
      </c>
      <c r="K94" s="4">
        <v>67.069999999999993</v>
      </c>
      <c r="L94" s="4">
        <f t="shared" si="3"/>
        <v>205502.47999999998</v>
      </c>
      <c r="M94" s="2" t="s">
        <v>229</v>
      </c>
      <c r="N94" s="2" t="s">
        <v>75</v>
      </c>
      <c r="O94" s="2" t="s">
        <v>35</v>
      </c>
      <c r="P94" s="2" t="s">
        <v>376</v>
      </c>
      <c r="Q94" s="6" t="s">
        <v>230</v>
      </c>
      <c r="R94" s="2" t="s">
        <v>44</v>
      </c>
    </row>
    <row r="95" spans="1:18" x14ac:dyDescent="0.25">
      <c r="A95" s="7" t="s">
        <v>53</v>
      </c>
      <c r="B95" s="7" t="s">
        <v>54</v>
      </c>
      <c r="C95" s="7" t="s">
        <v>55</v>
      </c>
      <c r="D95" s="8">
        <v>3450</v>
      </c>
      <c r="E95" s="9">
        <v>86.03</v>
      </c>
      <c r="F95" s="9">
        <f t="shared" si="2"/>
        <v>296803.5</v>
      </c>
      <c r="G95" s="2" t="s">
        <v>395</v>
      </c>
      <c r="H95" s="7" t="s">
        <v>56</v>
      </c>
      <c r="I95" s="10">
        <v>11</v>
      </c>
      <c r="J95" s="8">
        <v>2054</v>
      </c>
      <c r="K95" s="9">
        <v>145.19999999999999</v>
      </c>
      <c r="L95" s="9">
        <f t="shared" si="3"/>
        <v>298240.8</v>
      </c>
      <c r="M95" s="7" t="s">
        <v>231</v>
      </c>
      <c r="N95" s="7" t="s">
        <v>28</v>
      </c>
      <c r="O95" s="7" t="s">
        <v>43</v>
      </c>
      <c r="P95" s="2" t="s">
        <v>376</v>
      </c>
      <c r="Q95" s="11" t="s">
        <v>189</v>
      </c>
      <c r="R95" s="7" t="s">
        <v>81</v>
      </c>
    </row>
    <row r="96" spans="1:18" x14ac:dyDescent="0.25">
      <c r="A96" s="2" t="s">
        <v>37</v>
      </c>
      <c r="B96" s="2" t="s">
        <v>38</v>
      </c>
      <c r="C96" s="2" t="s">
        <v>39</v>
      </c>
      <c r="D96" s="3">
        <v>3200</v>
      </c>
      <c r="E96" s="4">
        <v>94.54</v>
      </c>
      <c r="F96" s="4">
        <f t="shared" si="2"/>
        <v>302528</v>
      </c>
      <c r="G96" s="2" t="s">
        <v>395</v>
      </c>
      <c r="H96" s="2" t="s">
        <v>40</v>
      </c>
      <c r="I96" s="5">
        <v>32</v>
      </c>
      <c r="J96" s="3">
        <v>1587</v>
      </c>
      <c r="K96" s="4">
        <v>36.049999999999997</v>
      </c>
      <c r="L96" s="4">
        <f t="shared" si="3"/>
        <v>57211.35</v>
      </c>
      <c r="M96" s="2" t="s">
        <v>232</v>
      </c>
      <c r="N96" s="2" t="s">
        <v>50</v>
      </c>
      <c r="O96" s="2" t="s">
        <v>35</v>
      </c>
      <c r="P96" s="2" t="s">
        <v>376</v>
      </c>
      <c r="Q96" s="6" t="s">
        <v>233</v>
      </c>
      <c r="R96" s="2" t="s">
        <v>81</v>
      </c>
    </row>
    <row r="97" spans="1:18" x14ac:dyDescent="0.25">
      <c r="A97" s="7" t="s">
        <v>23</v>
      </c>
      <c r="B97" s="7" t="s">
        <v>24</v>
      </c>
      <c r="C97" s="7" t="s">
        <v>25</v>
      </c>
      <c r="D97" s="8">
        <v>3900</v>
      </c>
      <c r="E97" s="9">
        <v>323.73</v>
      </c>
      <c r="F97" s="9">
        <f t="shared" si="2"/>
        <v>1262547</v>
      </c>
      <c r="G97" s="2" t="s">
        <v>395</v>
      </c>
      <c r="H97" s="7" t="s">
        <v>26</v>
      </c>
      <c r="I97" s="10">
        <v>36</v>
      </c>
      <c r="J97" s="8">
        <v>109</v>
      </c>
      <c r="K97" s="9">
        <v>544.78</v>
      </c>
      <c r="L97" s="9">
        <f t="shared" si="3"/>
        <v>59381.02</v>
      </c>
      <c r="M97" s="7" t="s">
        <v>234</v>
      </c>
      <c r="N97" s="7" t="s">
        <v>104</v>
      </c>
      <c r="O97" s="7" t="s">
        <v>85</v>
      </c>
      <c r="P97" s="2" t="s">
        <v>376</v>
      </c>
      <c r="Q97" s="11" t="s">
        <v>102</v>
      </c>
      <c r="R97" s="7" t="s">
        <v>81</v>
      </c>
    </row>
    <row r="98" spans="1:18" x14ac:dyDescent="0.25">
      <c r="A98" s="2" t="s">
        <v>45</v>
      </c>
      <c r="B98" s="2" t="s">
        <v>46</v>
      </c>
      <c r="C98" s="2" t="s">
        <v>47</v>
      </c>
      <c r="D98" s="3">
        <v>2500</v>
      </c>
      <c r="E98" s="4">
        <v>132.4</v>
      </c>
      <c r="F98" s="4">
        <f t="shared" si="2"/>
        <v>331000</v>
      </c>
      <c r="G98" s="2" t="s">
        <v>395</v>
      </c>
      <c r="H98" s="2" t="s">
        <v>48</v>
      </c>
      <c r="I98" s="5">
        <v>19</v>
      </c>
      <c r="J98" s="3">
        <v>4191</v>
      </c>
      <c r="K98" s="4">
        <v>176.72</v>
      </c>
      <c r="L98" s="4">
        <f t="shared" si="3"/>
        <v>740633.52</v>
      </c>
      <c r="M98" s="2" t="s">
        <v>235</v>
      </c>
      <c r="N98" s="2" t="s">
        <v>28</v>
      </c>
      <c r="O98" s="2" t="s">
        <v>377</v>
      </c>
      <c r="P98" s="2" t="s">
        <v>378</v>
      </c>
      <c r="Q98" s="6" t="s">
        <v>125</v>
      </c>
      <c r="R98" s="2" t="s">
        <v>81</v>
      </c>
    </row>
    <row r="99" spans="1:18" x14ac:dyDescent="0.25">
      <c r="A99" s="7" t="s">
        <v>37</v>
      </c>
      <c r="B99" s="7" t="s">
        <v>38</v>
      </c>
      <c r="C99" s="7" t="s">
        <v>39</v>
      </c>
      <c r="D99" s="8">
        <v>2850</v>
      </c>
      <c r="E99" s="9">
        <v>97.8</v>
      </c>
      <c r="F99" s="9">
        <f t="shared" si="2"/>
        <v>278730</v>
      </c>
      <c r="G99" s="2" t="s">
        <v>395</v>
      </c>
      <c r="H99" s="7" t="s">
        <v>40</v>
      </c>
      <c r="I99" s="10">
        <v>33</v>
      </c>
      <c r="J99" s="8">
        <v>3057</v>
      </c>
      <c r="K99" s="9">
        <v>35.21</v>
      </c>
      <c r="L99" s="9">
        <f t="shared" si="3"/>
        <v>107636.97</v>
      </c>
      <c r="M99" s="7" t="s">
        <v>236</v>
      </c>
      <c r="N99" s="7" t="s">
        <v>75</v>
      </c>
      <c r="O99" s="2" t="s">
        <v>377</v>
      </c>
      <c r="P99" s="2" t="s">
        <v>378</v>
      </c>
      <c r="Q99" s="11" t="s">
        <v>237</v>
      </c>
      <c r="R99" s="7" t="s">
        <v>81</v>
      </c>
    </row>
    <row r="100" spans="1:18" x14ac:dyDescent="0.25">
      <c r="A100" s="2" t="s">
        <v>53</v>
      </c>
      <c r="B100" s="2" t="s">
        <v>54</v>
      </c>
      <c r="C100" s="2" t="s">
        <v>55</v>
      </c>
      <c r="D100" s="3">
        <v>3550</v>
      </c>
      <c r="E100" s="4">
        <v>87.13</v>
      </c>
      <c r="F100" s="4">
        <f t="shared" si="2"/>
        <v>309311.5</v>
      </c>
      <c r="G100" s="2" t="s">
        <v>395</v>
      </c>
      <c r="H100" s="2" t="s">
        <v>56</v>
      </c>
      <c r="I100" s="5">
        <v>24</v>
      </c>
      <c r="J100" s="3">
        <v>391</v>
      </c>
      <c r="K100" s="4">
        <v>154.38</v>
      </c>
      <c r="L100" s="4">
        <f t="shared" si="3"/>
        <v>60362.58</v>
      </c>
      <c r="M100" s="2" t="s">
        <v>238</v>
      </c>
      <c r="N100" s="2" t="s">
        <v>75</v>
      </c>
      <c r="O100" s="2" t="s">
        <v>377</v>
      </c>
      <c r="P100" s="2" t="s">
        <v>378</v>
      </c>
      <c r="Q100" s="6" t="s">
        <v>72</v>
      </c>
      <c r="R100" s="2" t="s">
        <v>81</v>
      </c>
    </row>
    <row r="101" spans="1:18" x14ac:dyDescent="0.25">
      <c r="A101" s="7" t="s">
        <v>37</v>
      </c>
      <c r="B101" s="7" t="s">
        <v>38</v>
      </c>
      <c r="C101" s="7" t="s">
        <v>39</v>
      </c>
      <c r="D101" s="8">
        <v>1600</v>
      </c>
      <c r="E101" s="9">
        <v>91</v>
      </c>
      <c r="F101" s="9">
        <f t="shared" si="2"/>
        <v>145600</v>
      </c>
      <c r="G101" s="2" t="s">
        <v>395</v>
      </c>
      <c r="H101" s="7" t="s">
        <v>40</v>
      </c>
      <c r="I101" s="10">
        <v>17</v>
      </c>
      <c r="J101" s="8">
        <v>202</v>
      </c>
      <c r="K101" s="9">
        <v>35.53</v>
      </c>
      <c r="L101" s="9">
        <f t="shared" si="3"/>
        <v>7177.06</v>
      </c>
      <c r="M101" s="7" t="s">
        <v>239</v>
      </c>
      <c r="N101" s="7" t="s">
        <v>104</v>
      </c>
      <c r="O101" s="2" t="s">
        <v>377</v>
      </c>
      <c r="P101" s="2" t="s">
        <v>378</v>
      </c>
      <c r="Q101" s="11" t="s">
        <v>240</v>
      </c>
      <c r="R101" s="7" t="s">
        <v>73</v>
      </c>
    </row>
    <row r="102" spans="1:18" x14ac:dyDescent="0.25">
      <c r="A102" s="2" t="s">
        <v>30</v>
      </c>
      <c r="B102" s="2" t="s">
        <v>31</v>
      </c>
      <c r="C102" s="2" t="s">
        <v>32</v>
      </c>
      <c r="D102" s="3">
        <v>1300</v>
      </c>
      <c r="E102" s="4">
        <v>103.28</v>
      </c>
      <c r="F102" s="4">
        <f t="shared" si="2"/>
        <v>134264</v>
      </c>
      <c r="G102" s="2" t="s">
        <v>395</v>
      </c>
      <c r="H102" s="2" t="s">
        <v>33</v>
      </c>
      <c r="I102" s="5">
        <v>36</v>
      </c>
      <c r="J102" s="3">
        <v>4231</v>
      </c>
      <c r="K102" s="4">
        <v>22.59</v>
      </c>
      <c r="L102" s="4">
        <f t="shared" si="3"/>
        <v>95578.29</v>
      </c>
      <c r="M102" s="2" t="s">
        <v>241</v>
      </c>
      <c r="N102" s="2" t="s">
        <v>28</v>
      </c>
      <c r="O102" s="2" t="s">
        <v>43</v>
      </c>
      <c r="P102" s="2" t="s">
        <v>376</v>
      </c>
      <c r="Q102" s="6" t="s">
        <v>204</v>
      </c>
      <c r="R102" s="2" t="s">
        <v>52</v>
      </c>
    </row>
    <row r="103" spans="1:18" x14ac:dyDescent="0.25">
      <c r="A103" s="7" t="s">
        <v>45</v>
      </c>
      <c r="B103" s="7" t="s">
        <v>46</v>
      </c>
      <c r="C103" s="7" t="s">
        <v>47</v>
      </c>
      <c r="D103" s="8">
        <v>3200</v>
      </c>
      <c r="E103" s="9">
        <v>125.79</v>
      </c>
      <c r="F103" s="9">
        <f t="shared" si="2"/>
        <v>402528</v>
      </c>
      <c r="G103" s="2" t="s">
        <v>395</v>
      </c>
      <c r="H103" s="7" t="s">
        <v>48</v>
      </c>
      <c r="I103" s="10">
        <v>19</v>
      </c>
      <c r="J103" s="8">
        <v>1667</v>
      </c>
      <c r="K103" s="9">
        <v>186.54</v>
      </c>
      <c r="L103" s="9">
        <f t="shared" si="3"/>
        <v>310962.18</v>
      </c>
      <c r="M103" s="7" t="s">
        <v>242</v>
      </c>
      <c r="N103" s="7" t="s">
        <v>75</v>
      </c>
      <c r="O103" s="7" t="s">
        <v>35</v>
      </c>
      <c r="P103" s="2" t="s">
        <v>376</v>
      </c>
      <c r="Q103" s="11" t="s">
        <v>125</v>
      </c>
      <c r="R103" s="7" t="s">
        <v>73</v>
      </c>
    </row>
    <row r="104" spans="1:18" x14ac:dyDescent="0.25">
      <c r="A104" s="2" t="s">
        <v>53</v>
      </c>
      <c r="B104" s="2" t="s">
        <v>54</v>
      </c>
      <c r="C104" s="2" t="s">
        <v>55</v>
      </c>
      <c r="D104" s="3">
        <v>3500</v>
      </c>
      <c r="E104" s="4">
        <v>85.71</v>
      </c>
      <c r="F104" s="4">
        <f t="shared" si="2"/>
        <v>299985</v>
      </c>
      <c r="G104" s="2" t="s">
        <v>395</v>
      </c>
      <c r="H104" s="2" t="s">
        <v>56</v>
      </c>
      <c r="I104" s="5">
        <v>21</v>
      </c>
      <c r="J104" s="3">
        <v>4930</v>
      </c>
      <c r="K104" s="4">
        <v>146.91999999999999</v>
      </c>
      <c r="L104" s="4">
        <f t="shared" si="3"/>
        <v>724315.6</v>
      </c>
      <c r="M104" s="2" t="s">
        <v>243</v>
      </c>
      <c r="N104" s="2" t="s">
        <v>28</v>
      </c>
      <c r="O104" s="2" t="s">
        <v>35</v>
      </c>
      <c r="P104" s="2" t="s">
        <v>376</v>
      </c>
      <c r="Q104" s="6" t="s">
        <v>244</v>
      </c>
      <c r="R104" s="2" t="s">
        <v>22</v>
      </c>
    </row>
    <row r="105" spans="1:18" x14ac:dyDescent="0.25">
      <c r="A105" s="7" t="s">
        <v>37</v>
      </c>
      <c r="B105" s="7" t="s">
        <v>38</v>
      </c>
      <c r="C105" s="7" t="s">
        <v>39</v>
      </c>
      <c r="D105" s="8">
        <v>3400</v>
      </c>
      <c r="E105" s="9">
        <v>94.92</v>
      </c>
      <c r="F105" s="9">
        <f t="shared" si="2"/>
        <v>322728</v>
      </c>
      <c r="G105" s="2" t="s">
        <v>395</v>
      </c>
      <c r="H105" s="7" t="s">
        <v>40</v>
      </c>
      <c r="I105" s="10">
        <v>27</v>
      </c>
      <c r="J105" s="8">
        <v>932</v>
      </c>
      <c r="K105" s="9">
        <v>34.729999999999997</v>
      </c>
      <c r="L105" s="9">
        <f t="shared" si="3"/>
        <v>32368.359999999997</v>
      </c>
      <c r="M105" s="7" t="s">
        <v>245</v>
      </c>
      <c r="N105" s="7" t="s">
        <v>75</v>
      </c>
      <c r="O105" s="2" t="s">
        <v>377</v>
      </c>
      <c r="P105" s="2" t="s">
        <v>378</v>
      </c>
      <c r="Q105" s="11" t="s">
        <v>246</v>
      </c>
      <c r="R105" s="7" t="s">
        <v>22</v>
      </c>
    </row>
    <row r="106" spans="1:18" x14ac:dyDescent="0.25">
      <c r="A106" s="2" t="s">
        <v>53</v>
      </c>
      <c r="B106" s="2" t="s">
        <v>54</v>
      </c>
      <c r="C106" s="2" t="s">
        <v>55</v>
      </c>
      <c r="D106" s="3">
        <v>2600</v>
      </c>
      <c r="E106" s="4">
        <v>88.2</v>
      </c>
      <c r="F106" s="4">
        <f t="shared" si="2"/>
        <v>229320</v>
      </c>
      <c r="G106" s="2" t="s">
        <v>395</v>
      </c>
      <c r="H106" s="2" t="s">
        <v>56</v>
      </c>
      <c r="I106" s="5">
        <v>23</v>
      </c>
      <c r="J106" s="3">
        <v>1539</v>
      </c>
      <c r="K106" s="4">
        <v>152.41999999999999</v>
      </c>
      <c r="L106" s="4">
        <f t="shared" si="3"/>
        <v>234574.37999999998</v>
      </c>
      <c r="M106" s="2" t="s">
        <v>247</v>
      </c>
      <c r="N106" s="2" t="s">
        <v>75</v>
      </c>
      <c r="O106" s="2" t="s">
        <v>35</v>
      </c>
      <c r="P106" s="2" t="s">
        <v>376</v>
      </c>
      <c r="Q106" s="6" t="s">
        <v>225</v>
      </c>
      <c r="R106" s="2" t="s">
        <v>81</v>
      </c>
    </row>
    <row r="107" spans="1:18" x14ac:dyDescent="0.25">
      <c r="A107" s="7" t="s">
        <v>45</v>
      </c>
      <c r="B107" s="7" t="s">
        <v>46</v>
      </c>
      <c r="C107" s="7" t="s">
        <v>47</v>
      </c>
      <c r="D107" s="8">
        <v>4500</v>
      </c>
      <c r="E107" s="9">
        <v>128.76</v>
      </c>
      <c r="F107" s="9">
        <f t="shared" si="2"/>
        <v>579420</v>
      </c>
      <c r="G107" s="2" t="s">
        <v>395</v>
      </c>
      <c r="H107" s="7" t="s">
        <v>48</v>
      </c>
      <c r="I107" s="10">
        <v>18</v>
      </c>
      <c r="J107" s="8">
        <v>2064</v>
      </c>
      <c r="K107" s="9">
        <v>178.66</v>
      </c>
      <c r="L107" s="9">
        <f t="shared" si="3"/>
        <v>368754.24</v>
      </c>
      <c r="M107" s="7" t="s">
        <v>248</v>
      </c>
      <c r="N107" s="7" t="s">
        <v>50</v>
      </c>
      <c r="O107" s="7" t="s">
        <v>43</v>
      </c>
      <c r="P107" s="2" t="s">
        <v>376</v>
      </c>
      <c r="Q107" s="11" t="s">
        <v>208</v>
      </c>
      <c r="R107" s="7" t="s">
        <v>22</v>
      </c>
    </row>
    <row r="108" spans="1:18" x14ac:dyDescent="0.25">
      <c r="A108" s="2" t="s">
        <v>67</v>
      </c>
      <c r="B108" s="2" t="s">
        <v>68</v>
      </c>
      <c r="C108" s="2" t="s">
        <v>69</v>
      </c>
      <c r="D108" s="3">
        <v>2100</v>
      </c>
      <c r="E108" s="4">
        <v>448.57</v>
      </c>
      <c r="F108" s="4">
        <f t="shared" si="2"/>
        <v>941997</v>
      </c>
      <c r="G108" s="2" t="s">
        <v>395</v>
      </c>
      <c r="H108" s="2" t="s">
        <v>70</v>
      </c>
      <c r="I108" s="5">
        <v>28</v>
      </c>
      <c r="J108" s="3">
        <v>4370</v>
      </c>
      <c r="K108" s="4">
        <v>2561.21</v>
      </c>
      <c r="L108" s="4">
        <f t="shared" si="3"/>
        <v>11192487.699999999</v>
      </c>
      <c r="M108" s="2" t="s">
        <v>249</v>
      </c>
      <c r="N108" s="2" t="s">
        <v>19</v>
      </c>
      <c r="O108" s="2" t="s">
        <v>377</v>
      </c>
      <c r="P108" s="2" t="s">
        <v>378</v>
      </c>
      <c r="Q108" s="6" t="s">
        <v>250</v>
      </c>
      <c r="R108" s="2" t="s">
        <v>44</v>
      </c>
    </row>
    <row r="109" spans="1:18" x14ac:dyDescent="0.25">
      <c r="A109" s="7" t="s">
        <v>106</v>
      </c>
      <c r="B109" s="7" t="s">
        <v>393</v>
      </c>
      <c r="C109" s="7" t="s">
        <v>108</v>
      </c>
      <c r="D109" s="8">
        <v>4450</v>
      </c>
      <c r="E109" s="9">
        <v>217.88</v>
      </c>
      <c r="F109" s="9">
        <f t="shared" si="2"/>
        <v>969566</v>
      </c>
      <c r="G109" s="2" t="s">
        <v>395</v>
      </c>
      <c r="H109" s="7" t="s">
        <v>109</v>
      </c>
      <c r="I109" s="10">
        <v>19</v>
      </c>
      <c r="J109" s="8">
        <v>2039</v>
      </c>
      <c r="K109" s="9">
        <v>8.51</v>
      </c>
      <c r="L109" s="9">
        <f t="shared" si="3"/>
        <v>17351.89</v>
      </c>
      <c r="M109" s="7" t="s">
        <v>251</v>
      </c>
      <c r="N109" s="7" t="s">
        <v>28</v>
      </c>
      <c r="O109" s="7" t="s">
        <v>35</v>
      </c>
      <c r="P109" s="2" t="s">
        <v>376</v>
      </c>
      <c r="Q109" s="11" t="s">
        <v>189</v>
      </c>
      <c r="R109" s="7" t="s">
        <v>52</v>
      </c>
    </row>
    <row r="110" spans="1:18" x14ac:dyDescent="0.25">
      <c r="A110" s="2" t="s">
        <v>392</v>
      </c>
      <c r="B110" s="2" t="s">
        <v>15</v>
      </c>
      <c r="C110" s="2" t="s">
        <v>16</v>
      </c>
      <c r="D110" s="3">
        <v>3350</v>
      </c>
      <c r="E110" s="4">
        <v>137.97999999999999</v>
      </c>
      <c r="F110" s="4">
        <f t="shared" si="2"/>
        <v>462232.99999999994</v>
      </c>
      <c r="G110" s="2" t="s">
        <v>395</v>
      </c>
      <c r="H110" s="2" t="s">
        <v>17</v>
      </c>
      <c r="I110" s="5">
        <v>28</v>
      </c>
      <c r="J110" s="3">
        <v>1796</v>
      </c>
      <c r="K110" s="4">
        <v>56.59</v>
      </c>
      <c r="L110" s="4">
        <f t="shared" si="3"/>
        <v>101635.64</v>
      </c>
      <c r="M110" s="2" t="s">
        <v>252</v>
      </c>
      <c r="N110" s="2" t="s">
        <v>28</v>
      </c>
      <c r="O110" s="2" t="s">
        <v>20</v>
      </c>
      <c r="P110" s="2" t="s">
        <v>375</v>
      </c>
      <c r="Q110" s="6" t="s">
        <v>246</v>
      </c>
      <c r="R110" s="2" t="s">
        <v>52</v>
      </c>
    </row>
    <row r="111" spans="1:18" x14ac:dyDescent="0.25">
      <c r="A111" s="7" t="s">
        <v>37</v>
      </c>
      <c r="B111" s="7" t="s">
        <v>38</v>
      </c>
      <c r="C111" s="7" t="s">
        <v>39</v>
      </c>
      <c r="D111" s="8">
        <v>2650</v>
      </c>
      <c r="E111" s="9">
        <v>91.22</v>
      </c>
      <c r="F111" s="9">
        <f t="shared" si="2"/>
        <v>241733</v>
      </c>
      <c r="G111" s="2" t="s">
        <v>395</v>
      </c>
      <c r="H111" s="7" t="s">
        <v>40</v>
      </c>
      <c r="I111" s="10">
        <v>35</v>
      </c>
      <c r="J111" s="8">
        <v>3198</v>
      </c>
      <c r="K111" s="9">
        <v>33.82</v>
      </c>
      <c r="L111" s="9">
        <f t="shared" si="3"/>
        <v>108156.36</v>
      </c>
      <c r="M111" s="7" t="s">
        <v>253</v>
      </c>
      <c r="N111" s="7" t="s">
        <v>42</v>
      </c>
      <c r="O111" s="7" t="s">
        <v>20</v>
      </c>
      <c r="P111" s="2" t="s">
        <v>375</v>
      </c>
      <c r="Q111" s="11" t="s">
        <v>254</v>
      </c>
      <c r="R111" s="7" t="s">
        <v>44</v>
      </c>
    </row>
    <row r="112" spans="1:18" x14ac:dyDescent="0.25">
      <c r="A112" s="2" t="s">
        <v>53</v>
      </c>
      <c r="B112" s="2" t="s">
        <v>54</v>
      </c>
      <c r="C112" s="2" t="s">
        <v>55</v>
      </c>
      <c r="D112" s="3">
        <v>1900</v>
      </c>
      <c r="E112" s="4">
        <v>81.42</v>
      </c>
      <c r="F112" s="4">
        <f t="shared" si="2"/>
        <v>154698</v>
      </c>
      <c r="G112" s="2" t="s">
        <v>395</v>
      </c>
      <c r="H112" s="2" t="s">
        <v>56</v>
      </c>
      <c r="I112" s="5">
        <v>19</v>
      </c>
      <c r="J112" s="3">
        <v>2393</v>
      </c>
      <c r="K112" s="4">
        <v>144.65</v>
      </c>
      <c r="L112" s="4">
        <f t="shared" si="3"/>
        <v>346147.45</v>
      </c>
      <c r="M112" s="2" t="s">
        <v>255</v>
      </c>
      <c r="N112" s="2" t="s">
        <v>28</v>
      </c>
      <c r="O112" s="2" t="s">
        <v>43</v>
      </c>
      <c r="P112" s="2" t="s">
        <v>376</v>
      </c>
      <c r="Q112" s="6" t="s">
        <v>165</v>
      </c>
      <c r="R112" s="2" t="s">
        <v>73</v>
      </c>
    </row>
    <row r="113" spans="1:18" x14ac:dyDescent="0.25">
      <c r="A113" s="7" t="s">
        <v>30</v>
      </c>
      <c r="B113" s="7" t="s">
        <v>31</v>
      </c>
      <c r="C113" s="7" t="s">
        <v>32</v>
      </c>
      <c r="D113" s="8">
        <v>4050</v>
      </c>
      <c r="E113" s="9">
        <v>110.24</v>
      </c>
      <c r="F113" s="9">
        <f t="shared" si="2"/>
        <v>446472</v>
      </c>
      <c r="G113" s="2" t="s">
        <v>395</v>
      </c>
      <c r="H113" s="7" t="s">
        <v>33</v>
      </c>
      <c r="I113" s="10">
        <v>21</v>
      </c>
      <c r="J113" s="8">
        <v>1358</v>
      </c>
      <c r="K113" s="9">
        <v>22.55</v>
      </c>
      <c r="L113" s="9">
        <f t="shared" si="3"/>
        <v>30622.9</v>
      </c>
      <c r="M113" s="7" t="s">
        <v>256</v>
      </c>
      <c r="N113" s="7" t="s">
        <v>104</v>
      </c>
      <c r="O113" s="7" t="s">
        <v>35</v>
      </c>
      <c r="P113" s="2" t="s">
        <v>376</v>
      </c>
      <c r="Q113" s="11" t="s">
        <v>257</v>
      </c>
      <c r="R113" s="7" t="s">
        <v>44</v>
      </c>
    </row>
    <row r="114" spans="1:18" x14ac:dyDescent="0.25">
      <c r="A114" s="2" t="s">
        <v>59</v>
      </c>
      <c r="B114" s="2" t="s">
        <v>60</v>
      </c>
      <c r="C114" s="2" t="s">
        <v>61</v>
      </c>
      <c r="D114" s="3">
        <v>1650</v>
      </c>
      <c r="E114" s="4">
        <v>297.92</v>
      </c>
      <c r="F114" s="4">
        <f t="shared" si="2"/>
        <v>491568</v>
      </c>
      <c r="G114" s="2" t="s">
        <v>395</v>
      </c>
      <c r="H114" s="2" t="s">
        <v>62</v>
      </c>
      <c r="I114" s="5">
        <v>17</v>
      </c>
      <c r="J114" s="3">
        <v>2039</v>
      </c>
      <c r="K114" s="4">
        <v>62.91</v>
      </c>
      <c r="L114" s="4">
        <f t="shared" si="3"/>
        <v>128273.48999999999</v>
      </c>
      <c r="M114" s="2" t="s">
        <v>258</v>
      </c>
      <c r="N114" s="2" t="s">
        <v>42</v>
      </c>
      <c r="O114" s="2" t="s">
        <v>85</v>
      </c>
      <c r="P114" s="2" t="s">
        <v>376</v>
      </c>
      <c r="Q114" s="6" t="s">
        <v>259</v>
      </c>
      <c r="R114" s="2" t="s">
        <v>22</v>
      </c>
    </row>
    <row r="115" spans="1:18" x14ac:dyDescent="0.25">
      <c r="A115" s="7" t="s">
        <v>30</v>
      </c>
      <c r="B115" s="7" t="s">
        <v>31</v>
      </c>
      <c r="C115" s="7" t="s">
        <v>32</v>
      </c>
      <c r="D115" s="8">
        <v>3200</v>
      </c>
      <c r="E115" s="9">
        <v>107.8</v>
      </c>
      <c r="F115" s="9">
        <f t="shared" si="2"/>
        <v>344960</v>
      </c>
      <c r="G115" s="2" t="s">
        <v>395</v>
      </c>
      <c r="H115" s="7" t="s">
        <v>33</v>
      </c>
      <c r="I115" s="10">
        <v>36</v>
      </c>
      <c r="J115" s="8">
        <v>3553</v>
      </c>
      <c r="K115" s="9">
        <v>22.08</v>
      </c>
      <c r="L115" s="9">
        <f t="shared" si="3"/>
        <v>78450.239999999991</v>
      </c>
      <c r="M115" s="7" t="s">
        <v>260</v>
      </c>
      <c r="N115" s="7" t="s">
        <v>28</v>
      </c>
      <c r="O115" s="7" t="s">
        <v>43</v>
      </c>
      <c r="P115" s="2" t="s">
        <v>376</v>
      </c>
      <c r="Q115" s="11" t="s">
        <v>261</v>
      </c>
      <c r="R115" s="7" t="s">
        <v>22</v>
      </c>
    </row>
    <row r="116" spans="1:18" x14ac:dyDescent="0.25">
      <c r="A116" s="2" t="s">
        <v>23</v>
      </c>
      <c r="B116" s="2" t="s">
        <v>24</v>
      </c>
      <c r="C116" s="2" t="s">
        <v>25</v>
      </c>
      <c r="D116" s="3">
        <v>1050</v>
      </c>
      <c r="E116" s="4">
        <v>335.18</v>
      </c>
      <c r="F116" s="4">
        <f t="shared" si="2"/>
        <v>351939</v>
      </c>
      <c r="G116" s="2" t="s">
        <v>395</v>
      </c>
      <c r="H116" s="2" t="s">
        <v>26</v>
      </c>
      <c r="I116" s="5">
        <v>24</v>
      </c>
      <c r="J116" s="3">
        <v>3022</v>
      </c>
      <c r="K116" s="4">
        <v>531.46</v>
      </c>
      <c r="L116" s="4">
        <f t="shared" si="3"/>
        <v>1606072.12</v>
      </c>
      <c r="M116" s="2" t="s">
        <v>262</v>
      </c>
      <c r="N116" s="2" t="s">
        <v>104</v>
      </c>
      <c r="O116" s="2" t="s">
        <v>35</v>
      </c>
      <c r="P116" s="2" t="s">
        <v>376</v>
      </c>
      <c r="Q116" s="6" t="s">
        <v>246</v>
      </c>
      <c r="R116" s="2" t="s">
        <v>73</v>
      </c>
    </row>
    <row r="117" spans="1:18" x14ac:dyDescent="0.25">
      <c r="A117" s="7" t="s">
        <v>30</v>
      </c>
      <c r="B117" s="7" t="s">
        <v>31</v>
      </c>
      <c r="C117" s="7" t="s">
        <v>32</v>
      </c>
      <c r="D117" s="8">
        <v>3250</v>
      </c>
      <c r="E117" s="9">
        <v>109.86</v>
      </c>
      <c r="F117" s="9">
        <f t="shared" si="2"/>
        <v>357045</v>
      </c>
      <c r="G117" s="2" t="s">
        <v>395</v>
      </c>
      <c r="H117" s="7" t="s">
        <v>33</v>
      </c>
      <c r="I117" s="10">
        <v>17</v>
      </c>
      <c r="J117" s="8">
        <v>3639</v>
      </c>
      <c r="K117" s="9">
        <v>22.22</v>
      </c>
      <c r="L117" s="9">
        <f t="shared" si="3"/>
        <v>80858.58</v>
      </c>
      <c r="M117" s="7" t="s">
        <v>263</v>
      </c>
      <c r="N117" s="7" t="s">
        <v>28</v>
      </c>
      <c r="O117" s="7" t="s">
        <v>85</v>
      </c>
      <c r="P117" s="2" t="s">
        <v>376</v>
      </c>
      <c r="Q117" s="11" t="s">
        <v>264</v>
      </c>
      <c r="R117" s="7" t="s">
        <v>52</v>
      </c>
    </row>
    <row r="118" spans="1:18" x14ac:dyDescent="0.25">
      <c r="A118" s="2" t="s">
        <v>59</v>
      </c>
      <c r="B118" s="2" t="s">
        <v>60</v>
      </c>
      <c r="C118" s="2" t="s">
        <v>61</v>
      </c>
      <c r="D118" s="3">
        <v>3950</v>
      </c>
      <c r="E118" s="4">
        <v>282.8</v>
      </c>
      <c r="F118" s="4">
        <f t="shared" si="2"/>
        <v>1117060</v>
      </c>
      <c r="G118" s="2" t="s">
        <v>395</v>
      </c>
      <c r="H118" s="2" t="s">
        <v>62</v>
      </c>
      <c r="I118" s="5">
        <v>18</v>
      </c>
      <c r="J118" s="3">
        <v>3493</v>
      </c>
      <c r="K118" s="4">
        <v>65.959999999999994</v>
      </c>
      <c r="L118" s="4">
        <f t="shared" si="3"/>
        <v>230398.27999999997</v>
      </c>
      <c r="M118" s="2" t="s">
        <v>265</v>
      </c>
      <c r="N118" s="2" t="s">
        <v>50</v>
      </c>
      <c r="O118" s="2" t="s">
        <v>43</v>
      </c>
      <c r="P118" s="2" t="s">
        <v>376</v>
      </c>
      <c r="Q118" s="6" t="s">
        <v>266</v>
      </c>
      <c r="R118" s="2" t="s">
        <v>22</v>
      </c>
    </row>
    <row r="119" spans="1:18" x14ac:dyDescent="0.25">
      <c r="A119" s="7" t="s">
        <v>53</v>
      </c>
      <c r="B119" s="7" t="s">
        <v>54</v>
      </c>
      <c r="C119" s="7" t="s">
        <v>55</v>
      </c>
      <c r="D119" s="8">
        <v>2000</v>
      </c>
      <c r="E119" s="9">
        <v>84.47</v>
      </c>
      <c r="F119" s="9">
        <f t="shared" si="2"/>
        <v>168940</v>
      </c>
      <c r="G119" s="2" t="s">
        <v>395</v>
      </c>
      <c r="H119" s="7" t="s">
        <v>56</v>
      </c>
      <c r="I119" s="10">
        <v>37</v>
      </c>
      <c r="J119" s="8">
        <v>4140</v>
      </c>
      <c r="K119" s="9">
        <v>149.11000000000001</v>
      </c>
      <c r="L119" s="9">
        <f t="shared" si="3"/>
        <v>617315.4</v>
      </c>
      <c r="M119" s="7" t="s">
        <v>267</v>
      </c>
      <c r="N119" s="7" t="s">
        <v>75</v>
      </c>
      <c r="O119" s="7" t="s">
        <v>20</v>
      </c>
      <c r="P119" s="2" t="s">
        <v>375</v>
      </c>
      <c r="Q119" s="11" t="s">
        <v>268</v>
      </c>
      <c r="R119" s="7" t="s">
        <v>73</v>
      </c>
    </row>
    <row r="120" spans="1:18" x14ac:dyDescent="0.25">
      <c r="A120" s="2" t="s">
        <v>89</v>
      </c>
      <c r="B120" s="2" t="s">
        <v>90</v>
      </c>
      <c r="C120" s="7" t="s">
        <v>394</v>
      </c>
      <c r="D120" s="3">
        <v>1150</v>
      </c>
      <c r="E120" s="4">
        <v>107.49</v>
      </c>
      <c r="F120" s="4">
        <f t="shared" si="2"/>
        <v>123613.5</v>
      </c>
      <c r="G120" s="2" t="s">
        <v>395</v>
      </c>
      <c r="H120" s="2" t="s">
        <v>92</v>
      </c>
      <c r="I120" s="5">
        <v>20</v>
      </c>
      <c r="J120" s="3">
        <v>3102</v>
      </c>
      <c r="K120" s="4">
        <v>45.2</v>
      </c>
      <c r="L120" s="4">
        <f t="shared" si="3"/>
        <v>140210.40000000002</v>
      </c>
      <c r="M120" s="2" t="s">
        <v>269</v>
      </c>
      <c r="N120" s="2" t="s">
        <v>104</v>
      </c>
      <c r="O120" s="2" t="s">
        <v>35</v>
      </c>
      <c r="P120" s="2" t="s">
        <v>376</v>
      </c>
      <c r="Q120" s="6" t="s">
        <v>148</v>
      </c>
      <c r="R120" s="2" t="s">
        <v>73</v>
      </c>
    </row>
    <row r="121" spans="1:18" x14ac:dyDescent="0.25">
      <c r="A121" s="7" t="s">
        <v>106</v>
      </c>
      <c r="B121" s="7" t="s">
        <v>393</v>
      </c>
      <c r="C121" s="7" t="s">
        <v>108</v>
      </c>
      <c r="D121" s="8">
        <v>1750</v>
      </c>
      <c r="E121" s="9">
        <v>207.53</v>
      </c>
      <c r="F121" s="9">
        <f t="shared" si="2"/>
        <v>363177.5</v>
      </c>
      <c r="G121" s="2" t="s">
        <v>395</v>
      </c>
      <c r="H121" s="7" t="s">
        <v>109</v>
      </c>
      <c r="I121" s="10">
        <v>15</v>
      </c>
      <c r="J121" s="8">
        <v>738</v>
      </c>
      <c r="K121" s="9">
        <v>8.66</v>
      </c>
      <c r="L121" s="9">
        <f t="shared" si="3"/>
        <v>6391.08</v>
      </c>
      <c r="M121" s="7" t="s">
        <v>270</v>
      </c>
      <c r="N121" s="7" t="s">
        <v>42</v>
      </c>
      <c r="O121" s="2" t="s">
        <v>377</v>
      </c>
      <c r="P121" s="2" t="s">
        <v>378</v>
      </c>
      <c r="Q121" s="11" t="s">
        <v>29</v>
      </c>
      <c r="R121" s="7" t="s">
        <v>73</v>
      </c>
    </row>
    <row r="122" spans="1:18" x14ac:dyDescent="0.25">
      <c r="A122" s="2" t="s">
        <v>392</v>
      </c>
      <c r="B122" s="2" t="s">
        <v>15</v>
      </c>
      <c r="C122" s="2" t="s">
        <v>16</v>
      </c>
      <c r="D122" s="3">
        <v>4750</v>
      </c>
      <c r="E122" s="4">
        <v>135.79</v>
      </c>
      <c r="F122" s="4">
        <f t="shared" si="2"/>
        <v>645002.5</v>
      </c>
      <c r="G122" s="2" t="s">
        <v>395</v>
      </c>
      <c r="H122" s="2" t="s">
        <v>17</v>
      </c>
      <c r="I122" s="5">
        <v>16</v>
      </c>
      <c r="J122" s="3">
        <v>2147</v>
      </c>
      <c r="K122" s="4">
        <v>57.03</v>
      </c>
      <c r="L122" s="4">
        <f t="shared" si="3"/>
        <v>122443.41</v>
      </c>
      <c r="M122" s="2" t="s">
        <v>271</v>
      </c>
      <c r="N122" s="2" t="s">
        <v>19</v>
      </c>
      <c r="O122" s="2" t="s">
        <v>35</v>
      </c>
      <c r="P122" s="2" t="s">
        <v>376</v>
      </c>
      <c r="Q122" s="6" t="s">
        <v>80</v>
      </c>
      <c r="R122" s="2" t="s">
        <v>22</v>
      </c>
    </row>
    <row r="123" spans="1:18" x14ac:dyDescent="0.25">
      <c r="A123" s="7" t="s">
        <v>23</v>
      </c>
      <c r="B123" s="7" t="s">
        <v>24</v>
      </c>
      <c r="C123" s="7" t="s">
        <v>25</v>
      </c>
      <c r="D123" s="8">
        <v>1850</v>
      </c>
      <c r="E123" s="9">
        <v>310.83999999999997</v>
      </c>
      <c r="F123" s="9">
        <f t="shared" si="2"/>
        <v>575054</v>
      </c>
      <c r="G123" s="2" t="s">
        <v>395</v>
      </c>
      <c r="H123" s="7" t="s">
        <v>26</v>
      </c>
      <c r="I123" s="10">
        <v>21</v>
      </c>
      <c r="J123" s="8">
        <v>3731</v>
      </c>
      <c r="K123" s="9">
        <v>543.48</v>
      </c>
      <c r="L123" s="9">
        <f t="shared" si="3"/>
        <v>2027723.8800000001</v>
      </c>
      <c r="M123" s="7" t="s">
        <v>272</v>
      </c>
      <c r="N123" s="7" t="s">
        <v>19</v>
      </c>
      <c r="O123" s="7" t="s">
        <v>85</v>
      </c>
      <c r="P123" s="2" t="s">
        <v>376</v>
      </c>
      <c r="Q123" s="11" t="s">
        <v>273</v>
      </c>
      <c r="R123" s="7" t="s">
        <v>22</v>
      </c>
    </row>
    <row r="124" spans="1:18" x14ac:dyDescent="0.25">
      <c r="A124" s="2" t="s">
        <v>37</v>
      </c>
      <c r="B124" s="2" t="s">
        <v>38</v>
      </c>
      <c r="C124" s="2" t="s">
        <v>39</v>
      </c>
      <c r="D124" s="3">
        <v>3200</v>
      </c>
      <c r="E124" s="4">
        <v>93.7</v>
      </c>
      <c r="F124" s="4">
        <f t="shared" si="2"/>
        <v>299840</v>
      </c>
      <c r="G124" s="2" t="s">
        <v>395</v>
      </c>
      <c r="H124" s="2" t="s">
        <v>40</v>
      </c>
      <c r="I124" s="5">
        <v>17</v>
      </c>
      <c r="J124" s="3">
        <v>2857</v>
      </c>
      <c r="K124" s="4">
        <v>34.03</v>
      </c>
      <c r="L124" s="4">
        <f t="shared" si="3"/>
        <v>97223.71</v>
      </c>
      <c r="M124" s="2" t="s">
        <v>274</v>
      </c>
      <c r="N124" s="2" t="s">
        <v>50</v>
      </c>
      <c r="O124" s="2" t="s">
        <v>20</v>
      </c>
      <c r="P124" s="2" t="s">
        <v>375</v>
      </c>
      <c r="Q124" s="6" t="s">
        <v>161</v>
      </c>
      <c r="R124" s="2" t="s">
        <v>81</v>
      </c>
    </row>
    <row r="125" spans="1:18" x14ac:dyDescent="0.25">
      <c r="A125" s="7" t="s">
        <v>53</v>
      </c>
      <c r="B125" s="7" t="s">
        <v>54</v>
      </c>
      <c r="C125" s="7" t="s">
        <v>55</v>
      </c>
      <c r="D125" s="8">
        <v>2500</v>
      </c>
      <c r="E125" s="9">
        <v>82.56</v>
      </c>
      <c r="F125" s="9">
        <f t="shared" si="2"/>
        <v>206400</v>
      </c>
      <c r="G125" s="2" t="s">
        <v>395</v>
      </c>
      <c r="H125" s="7" t="s">
        <v>56</v>
      </c>
      <c r="I125" s="10">
        <v>15</v>
      </c>
      <c r="J125" s="8">
        <v>1786</v>
      </c>
      <c r="K125" s="9">
        <v>154.32</v>
      </c>
      <c r="L125" s="9">
        <f t="shared" si="3"/>
        <v>275615.51999999996</v>
      </c>
      <c r="M125" s="7" t="s">
        <v>275</v>
      </c>
      <c r="N125" s="7" t="s">
        <v>104</v>
      </c>
      <c r="O125" s="7" t="s">
        <v>85</v>
      </c>
      <c r="P125" s="2" t="s">
        <v>376</v>
      </c>
      <c r="Q125" s="11" t="s">
        <v>276</v>
      </c>
      <c r="R125" s="7" t="s">
        <v>73</v>
      </c>
    </row>
    <row r="126" spans="1:18" x14ac:dyDescent="0.25">
      <c r="A126" s="2" t="s">
        <v>37</v>
      </c>
      <c r="B126" s="2" t="s">
        <v>38</v>
      </c>
      <c r="C126" s="2" t="s">
        <v>39</v>
      </c>
      <c r="D126" s="3">
        <v>1800</v>
      </c>
      <c r="E126" s="4">
        <v>97.53</v>
      </c>
      <c r="F126" s="4">
        <f t="shared" si="2"/>
        <v>175554</v>
      </c>
      <c r="G126" s="2" t="s">
        <v>395</v>
      </c>
      <c r="H126" s="2" t="s">
        <v>40</v>
      </c>
      <c r="I126" s="5">
        <v>14</v>
      </c>
      <c r="J126" s="3">
        <v>2775</v>
      </c>
      <c r="K126" s="4">
        <v>35.450000000000003</v>
      </c>
      <c r="L126" s="4">
        <f t="shared" si="3"/>
        <v>98373.750000000015</v>
      </c>
      <c r="M126" s="2" t="s">
        <v>277</v>
      </c>
      <c r="N126" s="2" t="s">
        <v>50</v>
      </c>
      <c r="O126" s="2" t="s">
        <v>377</v>
      </c>
      <c r="P126" s="2" t="s">
        <v>378</v>
      </c>
      <c r="Q126" s="6" t="s">
        <v>278</v>
      </c>
      <c r="R126" s="2" t="s">
        <v>22</v>
      </c>
    </row>
    <row r="127" spans="1:18" x14ac:dyDescent="0.25">
      <c r="A127" s="7" t="s">
        <v>53</v>
      </c>
      <c r="B127" s="7" t="s">
        <v>54</v>
      </c>
      <c r="C127" s="7" t="s">
        <v>55</v>
      </c>
      <c r="D127" s="8">
        <v>3300</v>
      </c>
      <c r="E127" s="9">
        <v>87.44</v>
      </c>
      <c r="F127" s="9">
        <f t="shared" si="2"/>
        <v>288552</v>
      </c>
      <c r="G127" s="2" t="s">
        <v>395</v>
      </c>
      <c r="H127" s="7" t="s">
        <v>56</v>
      </c>
      <c r="I127" s="10">
        <v>35</v>
      </c>
      <c r="J127" s="8">
        <v>449</v>
      </c>
      <c r="K127" s="9">
        <v>151.12</v>
      </c>
      <c r="L127" s="9">
        <f t="shared" si="3"/>
        <v>67852.88</v>
      </c>
      <c r="M127" s="7" t="s">
        <v>279</v>
      </c>
      <c r="N127" s="7" t="s">
        <v>28</v>
      </c>
      <c r="O127" s="7" t="s">
        <v>85</v>
      </c>
      <c r="P127" s="2" t="s">
        <v>376</v>
      </c>
      <c r="Q127" s="11" t="s">
        <v>21</v>
      </c>
      <c r="R127" s="7" t="s">
        <v>81</v>
      </c>
    </row>
    <row r="128" spans="1:18" x14ac:dyDescent="0.25">
      <c r="A128" s="2" t="s">
        <v>45</v>
      </c>
      <c r="B128" s="2" t="s">
        <v>46</v>
      </c>
      <c r="C128" s="2" t="s">
        <v>47</v>
      </c>
      <c r="D128" s="3">
        <v>3000</v>
      </c>
      <c r="E128" s="4">
        <v>134.13999999999999</v>
      </c>
      <c r="F128" s="4">
        <f t="shared" si="2"/>
        <v>402419.99999999994</v>
      </c>
      <c r="G128" s="2" t="s">
        <v>395</v>
      </c>
      <c r="H128" s="2" t="s">
        <v>48</v>
      </c>
      <c r="I128" s="5">
        <v>31</v>
      </c>
      <c r="J128" s="3">
        <v>1279</v>
      </c>
      <c r="K128" s="4">
        <v>175.79</v>
      </c>
      <c r="L128" s="4">
        <f t="shared" si="3"/>
        <v>224835.41</v>
      </c>
      <c r="M128" s="2" t="s">
        <v>280</v>
      </c>
      <c r="N128" s="2" t="s">
        <v>19</v>
      </c>
      <c r="O128" s="2" t="s">
        <v>20</v>
      </c>
      <c r="P128" s="2" t="s">
        <v>375</v>
      </c>
      <c r="Q128" s="6" t="s">
        <v>281</v>
      </c>
      <c r="R128" s="2" t="s">
        <v>44</v>
      </c>
    </row>
    <row r="129" spans="1:18" x14ac:dyDescent="0.25">
      <c r="A129" s="2" t="s">
        <v>392</v>
      </c>
      <c r="B129" s="7" t="s">
        <v>15</v>
      </c>
      <c r="C129" s="7" t="s">
        <v>16</v>
      </c>
      <c r="D129" s="8">
        <v>3350</v>
      </c>
      <c r="E129" s="9">
        <v>133.74</v>
      </c>
      <c r="F129" s="9">
        <f t="shared" si="2"/>
        <v>448029.00000000006</v>
      </c>
      <c r="G129" s="2" t="s">
        <v>395</v>
      </c>
      <c r="H129" s="7" t="s">
        <v>17</v>
      </c>
      <c r="I129" s="10">
        <v>41</v>
      </c>
      <c r="J129" s="8">
        <v>2378</v>
      </c>
      <c r="K129" s="9">
        <v>56.34</v>
      </c>
      <c r="L129" s="9">
        <f t="shared" si="3"/>
        <v>133976.52000000002</v>
      </c>
      <c r="M129" s="7" t="s">
        <v>282</v>
      </c>
      <c r="N129" s="7" t="s">
        <v>101</v>
      </c>
      <c r="O129" s="7" t="s">
        <v>43</v>
      </c>
      <c r="P129" s="2" t="s">
        <v>376</v>
      </c>
      <c r="Q129" s="11" t="s">
        <v>246</v>
      </c>
      <c r="R129" s="7" t="s">
        <v>81</v>
      </c>
    </row>
    <row r="130" spans="1:18" x14ac:dyDescent="0.25">
      <c r="A130" s="2" t="s">
        <v>53</v>
      </c>
      <c r="B130" s="2" t="s">
        <v>54</v>
      </c>
      <c r="C130" s="2" t="s">
        <v>55</v>
      </c>
      <c r="D130" s="3">
        <v>1950</v>
      </c>
      <c r="E130" s="4">
        <v>85.48</v>
      </c>
      <c r="F130" s="4">
        <f t="shared" ref="F130:F193" si="4">D130*E130</f>
        <v>166686</v>
      </c>
      <c r="G130" s="2" t="s">
        <v>395</v>
      </c>
      <c r="H130" s="2" t="s">
        <v>56</v>
      </c>
      <c r="I130" s="5">
        <v>39</v>
      </c>
      <c r="J130" s="3">
        <v>2872</v>
      </c>
      <c r="K130" s="4">
        <v>147.26</v>
      </c>
      <c r="L130" s="4">
        <f t="shared" ref="L130:L193" si="5">J130*K130</f>
        <v>422930.72</v>
      </c>
      <c r="M130" s="2" t="s">
        <v>283</v>
      </c>
      <c r="N130" s="2" t="s">
        <v>50</v>
      </c>
      <c r="O130" s="2" t="s">
        <v>377</v>
      </c>
      <c r="P130" s="2" t="s">
        <v>378</v>
      </c>
      <c r="Q130" s="6" t="s">
        <v>219</v>
      </c>
      <c r="R130" s="2" t="s">
        <v>81</v>
      </c>
    </row>
    <row r="131" spans="1:18" x14ac:dyDescent="0.25">
      <c r="A131" s="7" t="s">
        <v>37</v>
      </c>
      <c r="B131" s="7" t="s">
        <v>38</v>
      </c>
      <c r="C131" s="7" t="s">
        <v>39</v>
      </c>
      <c r="D131" s="8">
        <v>3450</v>
      </c>
      <c r="E131" s="9">
        <v>99.38</v>
      </c>
      <c r="F131" s="9">
        <f t="shared" si="4"/>
        <v>342861</v>
      </c>
      <c r="G131" s="2" t="s">
        <v>395</v>
      </c>
      <c r="H131" s="7" t="s">
        <v>40</v>
      </c>
      <c r="I131" s="10">
        <v>37</v>
      </c>
      <c r="J131" s="8">
        <v>1341</v>
      </c>
      <c r="K131" s="9">
        <v>35.619999999999997</v>
      </c>
      <c r="L131" s="9">
        <f t="shared" si="5"/>
        <v>47766.42</v>
      </c>
      <c r="M131" s="7" t="s">
        <v>284</v>
      </c>
      <c r="N131" s="7" t="s">
        <v>50</v>
      </c>
      <c r="O131" s="7" t="s">
        <v>20</v>
      </c>
      <c r="P131" s="2" t="s">
        <v>375</v>
      </c>
      <c r="Q131" s="11" t="s">
        <v>72</v>
      </c>
      <c r="R131" s="7" t="s">
        <v>81</v>
      </c>
    </row>
    <row r="132" spans="1:18" x14ac:dyDescent="0.25">
      <c r="A132" s="2" t="s">
        <v>53</v>
      </c>
      <c r="B132" s="2" t="s">
        <v>54</v>
      </c>
      <c r="C132" s="2" t="s">
        <v>55</v>
      </c>
      <c r="D132" s="3">
        <v>3100</v>
      </c>
      <c r="E132" s="4">
        <v>85.88</v>
      </c>
      <c r="F132" s="4">
        <f t="shared" si="4"/>
        <v>266228</v>
      </c>
      <c r="G132" s="2" t="s">
        <v>395</v>
      </c>
      <c r="H132" s="2" t="s">
        <v>56</v>
      </c>
      <c r="I132" s="5">
        <v>18</v>
      </c>
      <c r="J132" s="3">
        <v>2285</v>
      </c>
      <c r="K132" s="4">
        <v>154.44</v>
      </c>
      <c r="L132" s="4">
        <f t="shared" si="5"/>
        <v>352895.4</v>
      </c>
      <c r="M132" s="2" t="s">
        <v>285</v>
      </c>
      <c r="N132" s="2" t="s">
        <v>19</v>
      </c>
      <c r="O132" s="2" t="s">
        <v>43</v>
      </c>
      <c r="P132" s="2" t="s">
        <v>376</v>
      </c>
      <c r="Q132" s="6" t="s">
        <v>217</v>
      </c>
      <c r="R132" s="2" t="s">
        <v>81</v>
      </c>
    </row>
    <row r="133" spans="1:18" x14ac:dyDescent="0.25">
      <c r="A133" s="7" t="s">
        <v>37</v>
      </c>
      <c r="B133" s="7" t="s">
        <v>38</v>
      </c>
      <c r="C133" s="7" t="s">
        <v>39</v>
      </c>
      <c r="D133" s="8">
        <v>4000</v>
      </c>
      <c r="E133" s="9">
        <v>94.41</v>
      </c>
      <c r="F133" s="9">
        <f t="shared" si="4"/>
        <v>377640</v>
      </c>
      <c r="G133" s="2" t="s">
        <v>395</v>
      </c>
      <c r="H133" s="7" t="s">
        <v>40</v>
      </c>
      <c r="I133" s="10">
        <v>39</v>
      </c>
      <c r="J133" s="8">
        <v>183</v>
      </c>
      <c r="K133" s="9">
        <v>36.159999999999997</v>
      </c>
      <c r="L133" s="9">
        <f t="shared" si="5"/>
        <v>6617.28</v>
      </c>
      <c r="M133" s="7" t="s">
        <v>286</v>
      </c>
      <c r="N133" s="7" t="s">
        <v>42</v>
      </c>
      <c r="O133" s="7" t="s">
        <v>43</v>
      </c>
      <c r="P133" s="2" t="s">
        <v>376</v>
      </c>
      <c r="Q133" s="11" t="s">
        <v>21</v>
      </c>
      <c r="R133" s="7" t="s">
        <v>52</v>
      </c>
    </row>
    <row r="134" spans="1:18" x14ac:dyDescent="0.25">
      <c r="A134" s="2" t="s">
        <v>37</v>
      </c>
      <c r="B134" s="2" t="s">
        <v>38</v>
      </c>
      <c r="C134" s="2" t="s">
        <v>39</v>
      </c>
      <c r="D134" s="3">
        <v>2600</v>
      </c>
      <c r="E134" s="4">
        <v>90.83</v>
      </c>
      <c r="F134" s="4">
        <f t="shared" si="4"/>
        <v>236158</v>
      </c>
      <c r="G134" s="2" t="s">
        <v>395</v>
      </c>
      <c r="H134" s="2" t="s">
        <v>40</v>
      </c>
      <c r="I134" s="5">
        <v>12</v>
      </c>
      <c r="J134" s="3">
        <v>3250</v>
      </c>
      <c r="K134" s="4">
        <v>34.72</v>
      </c>
      <c r="L134" s="4">
        <f t="shared" si="5"/>
        <v>112840</v>
      </c>
      <c r="M134" s="2" t="s">
        <v>287</v>
      </c>
      <c r="N134" s="2" t="s">
        <v>28</v>
      </c>
      <c r="O134" s="2" t="s">
        <v>377</v>
      </c>
      <c r="P134" s="2" t="s">
        <v>378</v>
      </c>
      <c r="Q134" s="6" t="s">
        <v>266</v>
      </c>
      <c r="R134" s="2" t="s">
        <v>22</v>
      </c>
    </row>
    <row r="135" spans="1:18" x14ac:dyDescent="0.25">
      <c r="A135" s="2" t="s">
        <v>392</v>
      </c>
      <c r="B135" s="7" t="s">
        <v>15</v>
      </c>
      <c r="C135" s="7" t="s">
        <v>16</v>
      </c>
      <c r="D135" s="8">
        <v>3450</v>
      </c>
      <c r="E135" s="9">
        <v>133.9</v>
      </c>
      <c r="F135" s="9">
        <f t="shared" si="4"/>
        <v>461955</v>
      </c>
      <c r="G135" s="2" t="s">
        <v>395</v>
      </c>
      <c r="H135" s="7" t="s">
        <v>17</v>
      </c>
      <c r="I135" s="10">
        <v>24</v>
      </c>
      <c r="J135" s="8">
        <v>4768</v>
      </c>
      <c r="K135" s="9">
        <v>56.02</v>
      </c>
      <c r="L135" s="9">
        <f t="shared" si="5"/>
        <v>267103.35999999999</v>
      </c>
      <c r="M135" s="7" t="s">
        <v>288</v>
      </c>
      <c r="N135" s="7" t="s">
        <v>104</v>
      </c>
      <c r="O135" s="7" t="s">
        <v>20</v>
      </c>
      <c r="P135" s="2" t="s">
        <v>375</v>
      </c>
      <c r="Q135" s="11" t="s">
        <v>173</v>
      </c>
      <c r="R135" s="7" t="s">
        <v>44</v>
      </c>
    </row>
    <row r="136" spans="1:18" x14ac:dyDescent="0.25">
      <c r="A136" s="2" t="s">
        <v>37</v>
      </c>
      <c r="B136" s="2" t="s">
        <v>38</v>
      </c>
      <c r="C136" s="2" t="s">
        <v>39</v>
      </c>
      <c r="D136" s="3">
        <v>4000</v>
      </c>
      <c r="E136" s="4">
        <v>97.77</v>
      </c>
      <c r="F136" s="4">
        <f t="shared" si="4"/>
        <v>391080</v>
      </c>
      <c r="G136" s="2" t="s">
        <v>395</v>
      </c>
      <c r="H136" s="2" t="s">
        <v>40</v>
      </c>
      <c r="I136" s="5">
        <v>26</v>
      </c>
      <c r="J136" s="3">
        <v>1968</v>
      </c>
      <c r="K136" s="4">
        <v>35.71</v>
      </c>
      <c r="L136" s="4">
        <f t="shared" si="5"/>
        <v>70277.279999999999</v>
      </c>
      <c r="M136" s="2" t="s">
        <v>289</v>
      </c>
      <c r="N136" s="2" t="s">
        <v>50</v>
      </c>
      <c r="O136" s="2" t="s">
        <v>43</v>
      </c>
      <c r="P136" s="2" t="s">
        <v>376</v>
      </c>
      <c r="Q136" s="6" t="s">
        <v>21</v>
      </c>
      <c r="R136" s="2" t="s">
        <v>73</v>
      </c>
    </row>
    <row r="137" spans="1:18" x14ac:dyDescent="0.25">
      <c r="A137" s="7" t="s">
        <v>106</v>
      </c>
      <c r="B137" s="7" t="s">
        <v>393</v>
      </c>
      <c r="C137" s="7" t="s">
        <v>108</v>
      </c>
      <c r="D137" s="8">
        <v>4650</v>
      </c>
      <c r="E137" s="9">
        <v>203.02</v>
      </c>
      <c r="F137" s="9">
        <f t="shared" si="4"/>
        <v>944043</v>
      </c>
      <c r="G137" s="2" t="s">
        <v>395</v>
      </c>
      <c r="H137" s="7" t="s">
        <v>109</v>
      </c>
      <c r="I137" s="10">
        <v>24</v>
      </c>
      <c r="J137" s="8">
        <v>4957</v>
      </c>
      <c r="K137" s="9">
        <v>8.68</v>
      </c>
      <c r="L137" s="9">
        <f t="shared" si="5"/>
        <v>43026.76</v>
      </c>
      <c r="M137" s="7" t="s">
        <v>290</v>
      </c>
      <c r="N137" s="7" t="s">
        <v>28</v>
      </c>
      <c r="O137" s="2" t="s">
        <v>377</v>
      </c>
      <c r="P137" s="2" t="s">
        <v>378</v>
      </c>
      <c r="Q137" s="11" t="s">
        <v>278</v>
      </c>
      <c r="R137" s="7" t="s">
        <v>52</v>
      </c>
    </row>
    <row r="138" spans="1:18" x14ac:dyDescent="0.25">
      <c r="A138" s="2" t="s">
        <v>53</v>
      </c>
      <c r="B138" s="2" t="s">
        <v>54</v>
      </c>
      <c r="C138" s="2" t="s">
        <v>55</v>
      </c>
      <c r="D138" s="3">
        <v>1450</v>
      </c>
      <c r="E138" s="4">
        <v>81.69</v>
      </c>
      <c r="F138" s="4">
        <f t="shared" si="4"/>
        <v>118450.5</v>
      </c>
      <c r="G138" s="2" t="s">
        <v>395</v>
      </c>
      <c r="H138" s="2" t="s">
        <v>56</v>
      </c>
      <c r="I138" s="5">
        <v>17</v>
      </c>
      <c r="J138" s="3">
        <v>4745</v>
      </c>
      <c r="K138" s="4">
        <v>151.72</v>
      </c>
      <c r="L138" s="4">
        <f t="shared" si="5"/>
        <v>719911.4</v>
      </c>
      <c r="M138" s="2" t="s">
        <v>291</v>
      </c>
      <c r="N138" s="2" t="s">
        <v>19</v>
      </c>
      <c r="O138" s="2" t="s">
        <v>20</v>
      </c>
      <c r="P138" s="2" t="s">
        <v>375</v>
      </c>
      <c r="Q138" s="6" t="s">
        <v>21</v>
      </c>
      <c r="R138" s="2" t="s">
        <v>22</v>
      </c>
    </row>
    <row r="139" spans="1:18" x14ac:dyDescent="0.25">
      <c r="A139" s="7" t="s">
        <v>45</v>
      </c>
      <c r="B139" s="7" t="s">
        <v>46</v>
      </c>
      <c r="C139" s="7" t="s">
        <v>47</v>
      </c>
      <c r="D139" s="8">
        <v>2000</v>
      </c>
      <c r="E139" s="9">
        <v>126.44</v>
      </c>
      <c r="F139" s="9">
        <f t="shared" si="4"/>
        <v>252880</v>
      </c>
      <c r="G139" s="2" t="s">
        <v>395</v>
      </c>
      <c r="H139" s="7" t="s">
        <v>48</v>
      </c>
      <c r="I139" s="10">
        <v>24</v>
      </c>
      <c r="J139" s="8">
        <v>3311</v>
      </c>
      <c r="K139" s="9">
        <v>180.04</v>
      </c>
      <c r="L139" s="9">
        <f t="shared" si="5"/>
        <v>596112.43999999994</v>
      </c>
      <c r="M139" s="7" t="s">
        <v>292</v>
      </c>
      <c r="N139" s="7" t="s">
        <v>28</v>
      </c>
      <c r="O139" s="7" t="s">
        <v>35</v>
      </c>
      <c r="P139" s="2" t="s">
        <v>376</v>
      </c>
      <c r="Q139" s="11" t="s">
        <v>293</v>
      </c>
      <c r="R139" s="7" t="s">
        <v>81</v>
      </c>
    </row>
    <row r="140" spans="1:18" x14ac:dyDescent="0.25">
      <c r="A140" s="2" t="s">
        <v>37</v>
      </c>
      <c r="B140" s="2" t="s">
        <v>38</v>
      </c>
      <c r="C140" s="2" t="s">
        <v>39</v>
      </c>
      <c r="D140" s="3">
        <v>4350</v>
      </c>
      <c r="E140" s="4">
        <v>90.35</v>
      </c>
      <c r="F140" s="4">
        <f t="shared" si="4"/>
        <v>393022.5</v>
      </c>
      <c r="G140" s="2" t="s">
        <v>395</v>
      </c>
      <c r="H140" s="2" t="s">
        <v>40</v>
      </c>
      <c r="I140" s="5">
        <v>36</v>
      </c>
      <c r="J140" s="3">
        <v>3114</v>
      </c>
      <c r="K140" s="4">
        <v>35.380000000000003</v>
      </c>
      <c r="L140" s="4">
        <f t="shared" si="5"/>
        <v>110173.32</v>
      </c>
      <c r="M140" s="2" t="s">
        <v>294</v>
      </c>
      <c r="N140" s="2" t="s">
        <v>75</v>
      </c>
      <c r="O140" s="2" t="s">
        <v>85</v>
      </c>
      <c r="P140" s="2" t="s">
        <v>376</v>
      </c>
      <c r="Q140" s="6" t="s">
        <v>295</v>
      </c>
      <c r="R140" s="2" t="s">
        <v>22</v>
      </c>
    </row>
    <row r="141" spans="1:18" x14ac:dyDescent="0.25">
      <c r="A141" s="7" t="s">
        <v>89</v>
      </c>
      <c r="B141" s="7" t="s">
        <v>90</v>
      </c>
      <c r="C141" s="7" t="s">
        <v>394</v>
      </c>
      <c r="D141" s="8">
        <v>3400</v>
      </c>
      <c r="E141" s="9">
        <v>105.75</v>
      </c>
      <c r="F141" s="9">
        <f t="shared" si="4"/>
        <v>359550</v>
      </c>
      <c r="G141" s="2" t="s">
        <v>395</v>
      </c>
      <c r="H141" s="7" t="s">
        <v>92</v>
      </c>
      <c r="I141" s="10">
        <v>41</v>
      </c>
      <c r="J141" s="8">
        <v>1398</v>
      </c>
      <c r="K141" s="9">
        <v>46.7</v>
      </c>
      <c r="L141" s="9">
        <f t="shared" si="5"/>
        <v>65286.600000000006</v>
      </c>
      <c r="M141" s="7" t="s">
        <v>296</v>
      </c>
      <c r="N141" s="7" t="s">
        <v>75</v>
      </c>
      <c r="O141" s="7" t="s">
        <v>43</v>
      </c>
      <c r="P141" s="2" t="s">
        <v>376</v>
      </c>
      <c r="Q141" s="11" t="s">
        <v>297</v>
      </c>
      <c r="R141" s="7" t="s">
        <v>73</v>
      </c>
    </row>
    <row r="142" spans="1:18" x14ac:dyDescent="0.25">
      <c r="A142" s="2" t="s">
        <v>89</v>
      </c>
      <c r="B142" s="2" t="s">
        <v>90</v>
      </c>
      <c r="C142" s="7" t="s">
        <v>394</v>
      </c>
      <c r="D142" s="3">
        <v>2200</v>
      </c>
      <c r="E142" s="4">
        <v>106.09</v>
      </c>
      <c r="F142" s="4">
        <f t="shared" si="4"/>
        <v>233398</v>
      </c>
      <c r="G142" s="2" t="s">
        <v>395</v>
      </c>
      <c r="H142" s="2" t="s">
        <v>92</v>
      </c>
      <c r="I142" s="5">
        <v>30</v>
      </c>
      <c r="J142" s="3">
        <v>2307</v>
      </c>
      <c r="K142" s="4">
        <v>46.47</v>
      </c>
      <c r="L142" s="4">
        <f t="shared" si="5"/>
        <v>107206.29</v>
      </c>
      <c r="M142" s="2" t="s">
        <v>298</v>
      </c>
      <c r="N142" s="2" t="s">
        <v>101</v>
      </c>
      <c r="O142" s="2" t="s">
        <v>85</v>
      </c>
      <c r="P142" s="2" t="s">
        <v>376</v>
      </c>
      <c r="Q142" s="6" t="s">
        <v>299</v>
      </c>
      <c r="R142" s="2" t="s">
        <v>52</v>
      </c>
    </row>
    <row r="143" spans="1:18" x14ac:dyDescent="0.25">
      <c r="A143" s="7" t="s">
        <v>59</v>
      </c>
      <c r="B143" s="7" t="s">
        <v>60</v>
      </c>
      <c r="C143" s="7" t="s">
        <v>61</v>
      </c>
      <c r="D143" s="8">
        <v>2550</v>
      </c>
      <c r="E143" s="9">
        <v>277.64999999999998</v>
      </c>
      <c r="F143" s="9">
        <f t="shared" si="4"/>
        <v>708007.5</v>
      </c>
      <c r="G143" s="2" t="s">
        <v>395</v>
      </c>
      <c r="H143" s="7" t="s">
        <v>62</v>
      </c>
      <c r="I143" s="10">
        <v>11</v>
      </c>
      <c r="J143" s="8">
        <v>692</v>
      </c>
      <c r="K143" s="9">
        <v>64.67</v>
      </c>
      <c r="L143" s="9">
        <f t="shared" si="5"/>
        <v>44751.64</v>
      </c>
      <c r="M143" s="7" t="s">
        <v>300</v>
      </c>
      <c r="N143" s="7" t="s">
        <v>104</v>
      </c>
      <c r="O143" s="7" t="s">
        <v>43</v>
      </c>
      <c r="P143" s="2" t="s">
        <v>376</v>
      </c>
      <c r="Q143" s="11" t="s">
        <v>281</v>
      </c>
      <c r="R143" s="7" t="s">
        <v>52</v>
      </c>
    </row>
    <row r="144" spans="1:18" x14ac:dyDescent="0.25">
      <c r="A144" s="2" t="s">
        <v>106</v>
      </c>
      <c r="B144" s="7" t="s">
        <v>393</v>
      </c>
      <c r="C144" s="2" t="s">
        <v>108</v>
      </c>
      <c r="D144" s="3">
        <v>1050</v>
      </c>
      <c r="E144" s="4">
        <v>218.08</v>
      </c>
      <c r="F144" s="4">
        <f t="shared" si="4"/>
        <v>228984</v>
      </c>
      <c r="G144" s="2" t="s">
        <v>395</v>
      </c>
      <c r="H144" s="2" t="s">
        <v>109</v>
      </c>
      <c r="I144" s="5">
        <v>29</v>
      </c>
      <c r="J144" s="3">
        <v>3856</v>
      </c>
      <c r="K144" s="4">
        <v>8.5</v>
      </c>
      <c r="L144" s="4">
        <f t="shared" si="5"/>
        <v>32776</v>
      </c>
      <c r="M144" s="2" t="s">
        <v>301</v>
      </c>
      <c r="N144" s="2" t="s">
        <v>42</v>
      </c>
      <c r="O144" s="2" t="s">
        <v>377</v>
      </c>
      <c r="P144" s="2" t="s">
        <v>378</v>
      </c>
      <c r="Q144" s="6" t="s">
        <v>264</v>
      </c>
      <c r="R144" s="2" t="s">
        <v>44</v>
      </c>
    </row>
    <row r="145" spans="1:18" x14ac:dyDescent="0.25">
      <c r="A145" s="2" t="s">
        <v>392</v>
      </c>
      <c r="B145" s="7" t="s">
        <v>15</v>
      </c>
      <c r="C145" s="7" t="s">
        <v>16</v>
      </c>
      <c r="D145" s="8">
        <v>4700</v>
      </c>
      <c r="E145" s="9">
        <v>134.29</v>
      </c>
      <c r="F145" s="9">
        <f t="shared" si="4"/>
        <v>631163</v>
      </c>
      <c r="G145" s="2" t="s">
        <v>395</v>
      </c>
      <c r="H145" s="7" t="s">
        <v>17</v>
      </c>
      <c r="I145" s="10">
        <v>32</v>
      </c>
      <c r="J145" s="8">
        <v>3470</v>
      </c>
      <c r="K145" s="9">
        <v>55.71</v>
      </c>
      <c r="L145" s="9">
        <f t="shared" si="5"/>
        <v>193313.7</v>
      </c>
      <c r="M145" s="7" t="s">
        <v>302</v>
      </c>
      <c r="N145" s="7" t="s">
        <v>42</v>
      </c>
      <c r="O145" s="7" t="s">
        <v>20</v>
      </c>
      <c r="P145" s="2" t="s">
        <v>375</v>
      </c>
      <c r="Q145" s="11" t="s">
        <v>303</v>
      </c>
      <c r="R145" s="7" t="s">
        <v>44</v>
      </c>
    </row>
    <row r="146" spans="1:18" x14ac:dyDescent="0.25">
      <c r="A146" s="2" t="s">
        <v>37</v>
      </c>
      <c r="B146" s="2" t="s">
        <v>38</v>
      </c>
      <c r="C146" s="2" t="s">
        <v>39</v>
      </c>
      <c r="D146" s="3">
        <v>1700</v>
      </c>
      <c r="E146" s="4">
        <v>91.38</v>
      </c>
      <c r="F146" s="4">
        <f t="shared" si="4"/>
        <v>155346</v>
      </c>
      <c r="G146" s="2" t="s">
        <v>395</v>
      </c>
      <c r="H146" s="2" t="s">
        <v>40</v>
      </c>
      <c r="I146" s="5">
        <v>28</v>
      </c>
      <c r="J146" s="3">
        <v>529</v>
      </c>
      <c r="K146" s="4">
        <v>35.659999999999997</v>
      </c>
      <c r="L146" s="4">
        <f t="shared" si="5"/>
        <v>18864.14</v>
      </c>
      <c r="M146" s="2" t="s">
        <v>304</v>
      </c>
      <c r="N146" s="2" t="s">
        <v>28</v>
      </c>
      <c r="O146" s="2" t="s">
        <v>20</v>
      </c>
      <c r="P146" s="2" t="s">
        <v>375</v>
      </c>
      <c r="Q146" s="6" t="s">
        <v>264</v>
      </c>
      <c r="R146" s="2" t="s">
        <v>73</v>
      </c>
    </row>
    <row r="147" spans="1:18" x14ac:dyDescent="0.25">
      <c r="A147" s="7" t="s">
        <v>23</v>
      </c>
      <c r="B147" s="7" t="s">
        <v>24</v>
      </c>
      <c r="C147" s="7" t="s">
        <v>25</v>
      </c>
      <c r="D147" s="8">
        <v>3150</v>
      </c>
      <c r="E147" s="9">
        <v>322.16000000000003</v>
      </c>
      <c r="F147" s="9">
        <f t="shared" si="4"/>
        <v>1014804.0000000001</v>
      </c>
      <c r="G147" s="2" t="s">
        <v>395</v>
      </c>
      <c r="H147" s="7" t="s">
        <v>26</v>
      </c>
      <c r="I147" s="10">
        <v>25</v>
      </c>
      <c r="J147" s="8">
        <v>2586</v>
      </c>
      <c r="K147" s="9">
        <v>555.88</v>
      </c>
      <c r="L147" s="9">
        <f t="shared" si="5"/>
        <v>1437505.68</v>
      </c>
      <c r="M147" s="7" t="s">
        <v>305</v>
      </c>
      <c r="N147" s="7" t="s">
        <v>75</v>
      </c>
      <c r="O147" s="2" t="s">
        <v>377</v>
      </c>
      <c r="P147" s="2" t="s">
        <v>378</v>
      </c>
      <c r="Q147" s="11" t="s">
        <v>154</v>
      </c>
      <c r="R147" s="7" t="s">
        <v>22</v>
      </c>
    </row>
    <row r="148" spans="1:18" x14ac:dyDescent="0.25">
      <c r="A148" s="2" t="s">
        <v>45</v>
      </c>
      <c r="B148" s="2" t="s">
        <v>46</v>
      </c>
      <c r="C148" s="2" t="s">
        <v>47</v>
      </c>
      <c r="D148" s="3">
        <v>3850</v>
      </c>
      <c r="E148" s="4">
        <v>124.21</v>
      </c>
      <c r="F148" s="4">
        <f t="shared" si="4"/>
        <v>478208.5</v>
      </c>
      <c r="G148" s="2" t="s">
        <v>395</v>
      </c>
      <c r="H148" s="2" t="s">
        <v>48</v>
      </c>
      <c r="I148" s="5">
        <v>25</v>
      </c>
      <c r="J148" s="3">
        <v>189</v>
      </c>
      <c r="K148" s="4">
        <v>179.04</v>
      </c>
      <c r="L148" s="4">
        <f t="shared" si="5"/>
        <v>33838.559999999998</v>
      </c>
      <c r="M148" s="2" t="s">
        <v>306</v>
      </c>
      <c r="N148" s="2" t="s">
        <v>75</v>
      </c>
      <c r="O148" s="2" t="s">
        <v>377</v>
      </c>
      <c r="P148" s="2" t="s">
        <v>378</v>
      </c>
      <c r="Q148" s="6" t="s">
        <v>213</v>
      </c>
      <c r="R148" s="2" t="s">
        <v>73</v>
      </c>
    </row>
    <row r="149" spans="1:18" x14ac:dyDescent="0.25">
      <c r="A149" s="7" t="s">
        <v>23</v>
      </c>
      <c r="B149" s="7" t="s">
        <v>24</v>
      </c>
      <c r="C149" s="7" t="s">
        <v>25</v>
      </c>
      <c r="D149" s="8">
        <v>2950</v>
      </c>
      <c r="E149" s="9">
        <v>316.25</v>
      </c>
      <c r="F149" s="9">
        <f t="shared" si="4"/>
        <v>932937.5</v>
      </c>
      <c r="G149" s="2" t="s">
        <v>395</v>
      </c>
      <c r="H149" s="7" t="s">
        <v>26</v>
      </c>
      <c r="I149" s="10">
        <v>15</v>
      </c>
      <c r="J149" s="8">
        <v>4139</v>
      </c>
      <c r="K149" s="9">
        <v>533.03</v>
      </c>
      <c r="L149" s="9">
        <f t="shared" si="5"/>
        <v>2206211.17</v>
      </c>
      <c r="M149" s="7" t="s">
        <v>307</v>
      </c>
      <c r="N149" s="7" t="s">
        <v>42</v>
      </c>
      <c r="O149" s="7" t="s">
        <v>35</v>
      </c>
      <c r="P149" s="2" t="s">
        <v>376</v>
      </c>
      <c r="Q149" s="11" t="s">
        <v>211</v>
      </c>
      <c r="R149" s="7" t="s">
        <v>81</v>
      </c>
    </row>
    <row r="150" spans="1:18" x14ac:dyDescent="0.25">
      <c r="A150" s="2" t="s">
        <v>30</v>
      </c>
      <c r="B150" s="2" t="s">
        <v>31</v>
      </c>
      <c r="C150" s="2" t="s">
        <v>32</v>
      </c>
      <c r="D150" s="3">
        <v>1300</v>
      </c>
      <c r="E150" s="4">
        <v>107.97</v>
      </c>
      <c r="F150" s="4">
        <f t="shared" si="4"/>
        <v>140361</v>
      </c>
      <c r="G150" s="2" t="s">
        <v>395</v>
      </c>
      <c r="H150" s="2" t="s">
        <v>33</v>
      </c>
      <c r="I150" s="5">
        <v>24</v>
      </c>
      <c r="J150" s="3">
        <v>1977</v>
      </c>
      <c r="K150" s="4">
        <v>22.02</v>
      </c>
      <c r="L150" s="4">
        <f t="shared" si="5"/>
        <v>43533.54</v>
      </c>
      <c r="M150" s="2" t="s">
        <v>308</v>
      </c>
      <c r="N150" s="2" t="s">
        <v>50</v>
      </c>
      <c r="O150" s="2" t="s">
        <v>35</v>
      </c>
      <c r="P150" s="2" t="s">
        <v>376</v>
      </c>
      <c r="Q150" s="6" t="s">
        <v>309</v>
      </c>
      <c r="R150" s="2" t="s">
        <v>44</v>
      </c>
    </row>
    <row r="151" spans="1:18" x14ac:dyDescent="0.25">
      <c r="A151" s="7" t="s">
        <v>45</v>
      </c>
      <c r="B151" s="7" t="s">
        <v>46</v>
      </c>
      <c r="C151" s="7" t="s">
        <v>47</v>
      </c>
      <c r="D151" s="8">
        <v>1250</v>
      </c>
      <c r="E151" s="9">
        <v>133.9</v>
      </c>
      <c r="F151" s="9">
        <f t="shared" si="4"/>
        <v>167375</v>
      </c>
      <c r="G151" s="2" t="s">
        <v>395</v>
      </c>
      <c r="H151" s="7" t="s">
        <v>48</v>
      </c>
      <c r="I151" s="10">
        <v>25</v>
      </c>
      <c r="J151" s="8">
        <v>1569</v>
      </c>
      <c r="K151" s="9">
        <v>183.43</v>
      </c>
      <c r="L151" s="9">
        <f t="shared" si="5"/>
        <v>287801.67</v>
      </c>
      <c r="M151" s="7" t="s">
        <v>310</v>
      </c>
      <c r="N151" s="7" t="s">
        <v>75</v>
      </c>
      <c r="O151" s="7" t="s">
        <v>43</v>
      </c>
      <c r="P151" s="2" t="s">
        <v>376</v>
      </c>
      <c r="Q151" s="11" t="s">
        <v>311</v>
      </c>
      <c r="R151" s="7" t="s">
        <v>81</v>
      </c>
    </row>
    <row r="152" spans="1:18" x14ac:dyDescent="0.25">
      <c r="A152" s="2" t="s">
        <v>67</v>
      </c>
      <c r="B152" s="2" t="s">
        <v>68</v>
      </c>
      <c r="C152" s="2" t="s">
        <v>69</v>
      </c>
      <c r="D152" s="3">
        <v>1850</v>
      </c>
      <c r="E152" s="4">
        <v>441.19</v>
      </c>
      <c r="F152" s="4">
        <f t="shared" si="4"/>
        <v>816201.5</v>
      </c>
      <c r="G152" s="2" t="s">
        <v>395</v>
      </c>
      <c r="H152" s="2" t="s">
        <v>70</v>
      </c>
      <c r="I152" s="5">
        <v>37</v>
      </c>
      <c r="J152" s="3">
        <v>4178</v>
      </c>
      <c r="K152" s="4">
        <v>2406.64</v>
      </c>
      <c r="L152" s="4">
        <f t="shared" si="5"/>
        <v>10054941.92</v>
      </c>
      <c r="M152" s="2" t="s">
        <v>312</v>
      </c>
      <c r="N152" s="2" t="s">
        <v>101</v>
      </c>
      <c r="O152" s="2" t="s">
        <v>85</v>
      </c>
      <c r="P152" s="2" t="s">
        <v>376</v>
      </c>
      <c r="Q152" s="6" t="s">
        <v>66</v>
      </c>
      <c r="R152" s="2" t="s">
        <v>81</v>
      </c>
    </row>
    <row r="153" spans="1:18" x14ac:dyDescent="0.25">
      <c r="A153" s="7" t="s">
        <v>59</v>
      </c>
      <c r="B153" s="7" t="s">
        <v>60</v>
      </c>
      <c r="C153" s="7" t="s">
        <v>61</v>
      </c>
      <c r="D153" s="8">
        <v>2550</v>
      </c>
      <c r="E153" s="9">
        <v>302.24</v>
      </c>
      <c r="F153" s="9">
        <f t="shared" si="4"/>
        <v>770712</v>
      </c>
      <c r="G153" s="2" t="s">
        <v>395</v>
      </c>
      <c r="H153" s="7" t="s">
        <v>62</v>
      </c>
      <c r="I153" s="10">
        <v>22</v>
      </c>
      <c r="J153" s="8">
        <v>1138</v>
      </c>
      <c r="K153" s="9">
        <v>65.819999999999993</v>
      </c>
      <c r="L153" s="9">
        <f t="shared" si="5"/>
        <v>74903.159999999989</v>
      </c>
      <c r="M153" s="7" t="s">
        <v>313</v>
      </c>
      <c r="N153" s="7" t="s">
        <v>42</v>
      </c>
      <c r="O153" s="7" t="s">
        <v>20</v>
      </c>
      <c r="P153" s="2" t="s">
        <v>375</v>
      </c>
      <c r="Q153" s="11" t="s">
        <v>113</v>
      </c>
      <c r="R153" s="7" t="s">
        <v>73</v>
      </c>
    </row>
    <row r="154" spans="1:18" x14ac:dyDescent="0.25">
      <c r="A154" s="2" t="s">
        <v>89</v>
      </c>
      <c r="B154" s="2" t="s">
        <v>90</v>
      </c>
      <c r="C154" s="7" t="s">
        <v>394</v>
      </c>
      <c r="D154" s="3">
        <v>1550</v>
      </c>
      <c r="E154" s="4">
        <v>114.98</v>
      </c>
      <c r="F154" s="4">
        <f t="shared" si="4"/>
        <v>178219</v>
      </c>
      <c r="G154" s="2" t="s">
        <v>395</v>
      </c>
      <c r="H154" s="2" t="s">
        <v>92</v>
      </c>
      <c r="I154" s="5">
        <v>29</v>
      </c>
      <c r="J154" s="3">
        <v>971</v>
      </c>
      <c r="K154" s="4">
        <v>46.57</v>
      </c>
      <c r="L154" s="4">
        <f t="shared" si="5"/>
        <v>45219.47</v>
      </c>
      <c r="M154" s="2" t="s">
        <v>314</v>
      </c>
      <c r="N154" s="2" t="s">
        <v>19</v>
      </c>
      <c r="O154" s="2" t="s">
        <v>35</v>
      </c>
      <c r="P154" s="2" t="s">
        <v>376</v>
      </c>
      <c r="Q154" s="6" t="s">
        <v>96</v>
      </c>
      <c r="R154" s="2" t="s">
        <v>81</v>
      </c>
    </row>
    <row r="155" spans="1:18" x14ac:dyDescent="0.25">
      <c r="A155" s="7" t="s">
        <v>53</v>
      </c>
      <c r="B155" s="7" t="s">
        <v>54</v>
      </c>
      <c r="C155" s="7" t="s">
        <v>55</v>
      </c>
      <c r="D155" s="8">
        <v>4400</v>
      </c>
      <c r="E155" s="9">
        <v>81.099999999999994</v>
      </c>
      <c r="F155" s="9">
        <f t="shared" si="4"/>
        <v>356840</v>
      </c>
      <c r="G155" s="2" t="s">
        <v>395</v>
      </c>
      <c r="H155" s="7" t="s">
        <v>56</v>
      </c>
      <c r="I155" s="10">
        <v>30</v>
      </c>
      <c r="J155" s="8">
        <v>644</v>
      </c>
      <c r="K155" s="9">
        <v>147.1</v>
      </c>
      <c r="L155" s="9">
        <f t="shared" si="5"/>
        <v>94732.4</v>
      </c>
      <c r="M155" s="7" t="s">
        <v>315</v>
      </c>
      <c r="N155" s="7" t="s">
        <v>19</v>
      </c>
      <c r="O155" s="7" t="s">
        <v>85</v>
      </c>
      <c r="P155" s="2" t="s">
        <v>376</v>
      </c>
      <c r="Q155" s="11" t="s">
        <v>178</v>
      </c>
      <c r="R155" s="7" t="s">
        <v>52</v>
      </c>
    </row>
    <row r="156" spans="1:18" x14ac:dyDescent="0.25">
      <c r="A156" s="2" t="s">
        <v>67</v>
      </c>
      <c r="B156" s="2" t="s">
        <v>68</v>
      </c>
      <c r="C156" s="2" t="s">
        <v>69</v>
      </c>
      <c r="D156" s="3">
        <v>1850</v>
      </c>
      <c r="E156" s="4">
        <v>457.59</v>
      </c>
      <c r="F156" s="4">
        <f t="shared" si="4"/>
        <v>846541.5</v>
      </c>
      <c r="G156" s="2" t="s">
        <v>395</v>
      </c>
      <c r="H156" s="2" t="s">
        <v>70</v>
      </c>
      <c r="I156" s="5">
        <v>38</v>
      </c>
      <c r="J156" s="3">
        <v>1578</v>
      </c>
      <c r="K156" s="4">
        <v>2572.27</v>
      </c>
      <c r="L156" s="4">
        <f t="shared" si="5"/>
        <v>4059042.06</v>
      </c>
      <c r="M156" s="2" t="s">
        <v>316</v>
      </c>
      <c r="N156" s="2" t="s">
        <v>50</v>
      </c>
      <c r="O156" s="2" t="s">
        <v>85</v>
      </c>
      <c r="P156" s="2" t="s">
        <v>376</v>
      </c>
      <c r="Q156" s="6" t="s">
        <v>317</v>
      </c>
      <c r="R156" s="2" t="s">
        <v>44</v>
      </c>
    </row>
    <row r="157" spans="1:18" x14ac:dyDescent="0.25">
      <c r="A157" s="7" t="s">
        <v>30</v>
      </c>
      <c r="B157" s="7" t="s">
        <v>31</v>
      </c>
      <c r="C157" s="7" t="s">
        <v>32</v>
      </c>
      <c r="D157" s="8">
        <v>4000</v>
      </c>
      <c r="E157" s="9">
        <v>108.01</v>
      </c>
      <c r="F157" s="9">
        <f t="shared" si="4"/>
        <v>432040</v>
      </c>
      <c r="G157" s="2" t="s">
        <v>395</v>
      </c>
      <c r="H157" s="7" t="s">
        <v>33</v>
      </c>
      <c r="I157" s="10">
        <v>17</v>
      </c>
      <c r="J157" s="8">
        <v>2395</v>
      </c>
      <c r="K157" s="9">
        <v>21.41</v>
      </c>
      <c r="L157" s="9">
        <f t="shared" si="5"/>
        <v>51276.95</v>
      </c>
      <c r="M157" s="7" t="s">
        <v>318</v>
      </c>
      <c r="N157" s="7" t="s">
        <v>28</v>
      </c>
      <c r="O157" s="7" t="s">
        <v>85</v>
      </c>
      <c r="P157" s="2" t="s">
        <v>376</v>
      </c>
      <c r="Q157" s="11" t="s">
        <v>309</v>
      </c>
      <c r="R157" s="7" t="s">
        <v>73</v>
      </c>
    </row>
    <row r="158" spans="1:18" x14ac:dyDescent="0.25">
      <c r="A158" s="2" t="s">
        <v>53</v>
      </c>
      <c r="B158" s="2" t="s">
        <v>54</v>
      </c>
      <c r="C158" s="2" t="s">
        <v>55</v>
      </c>
      <c r="D158" s="3">
        <v>2450</v>
      </c>
      <c r="E158" s="4">
        <v>86.11</v>
      </c>
      <c r="F158" s="4">
        <f t="shared" si="4"/>
        <v>210969.5</v>
      </c>
      <c r="G158" s="2" t="s">
        <v>395</v>
      </c>
      <c r="H158" s="2" t="s">
        <v>56</v>
      </c>
      <c r="I158" s="5">
        <v>31</v>
      </c>
      <c r="J158" s="3">
        <v>1512</v>
      </c>
      <c r="K158" s="4">
        <v>147.5</v>
      </c>
      <c r="L158" s="4">
        <f t="shared" si="5"/>
        <v>223020</v>
      </c>
      <c r="M158" s="2" t="s">
        <v>319</v>
      </c>
      <c r="N158" s="2" t="s">
        <v>42</v>
      </c>
      <c r="O158" s="2" t="s">
        <v>35</v>
      </c>
      <c r="P158" s="2" t="s">
        <v>376</v>
      </c>
      <c r="Q158" s="6" t="s">
        <v>317</v>
      </c>
      <c r="R158" s="2" t="s">
        <v>81</v>
      </c>
    </row>
    <row r="159" spans="1:18" x14ac:dyDescent="0.25">
      <c r="A159" s="7" t="s">
        <v>45</v>
      </c>
      <c r="B159" s="7" t="s">
        <v>46</v>
      </c>
      <c r="C159" s="7" t="s">
        <v>47</v>
      </c>
      <c r="D159" s="8">
        <v>2450</v>
      </c>
      <c r="E159" s="9">
        <v>128.97999999999999</v>
      </c>
      <c r="F159" s="9">
        <f t="shared" si="4"/>
        <v>316001</v>
      </c>
      <c r="G159" s="2" t="s">
        <v>395</v>
      </c>
      <c r="H159" s="7" t="s">
        <v>48</v>
      </c>
      <c r="I159" s="10">
        <v>18</v>
      </c>
      <c r="J159" s="8">
        <v>3044</v>
      </c>
      <c r="K159" s="9">
        <v>185.55</v>
      </c>
      <c r="L159" s="9">
        <f t="shared" si="5"/>
        <v>564814.20000000007</v>
      </c>
      <c r="M159" s="7" t="s">
        <v>320</v>
      </c>
      <c r="N159" s="7" t="s">
        <v>50</v>
      </c>
      <c r="O159" s="2" t="s">
        <v>377</v>
      </c>
      <c r="P159" s="2" t="s">
        <v>378</v>
      </c>
      <c r="Q159" s="11" t="s">
        <v>111</v>
      </c>
      <c r="R159" s="7" t="s">
        <v>44</v>
      </c>
    </row>
    <row r="160" spans="1:18" x14ac:dyDescent="0.25">
      <c r="A160" s="2" t="s">
        <v>37</v>
      </c>
      <c r="B160" s="2" t="s">
        <v>38</v>
      </c>
      <c r="C160" s="2" t="s">
        <v>39</v>
      </c>
      <c r="D160" s="3">
        <v>2750</v>
      </c>
      <c r="E160" s="4">
        <v>91.15</v>
      </c>
      <c r="F160" s="4">
        <f t="shared" si="4"/>
        <v>250662.50000000003</v>
      </c>
      <c r="G160" s="2" t="s">
        <v>395</v>
      </c>
      <c r="H160" s="2" t="s">
        <v>40</v>
      </c>
      <c r="I160" s="5">
        <v>21</v>
      </c>
      <c r="J160" s="3">
        <v>4174</v>
      </c>
      <c r="K160" s="4">
        <v>36.130000000000003</v>
      </c>
      <c r="L160" s="4">
        <f t="shared" si="5"/>
        <v>150806.62000000002</v>
      </c>
      <c r="M160" s="2" t="s">
        <v>321</v>
      </c>
      <c r="N160" s="2" t="s">
        <v>42</v>
      </c>
      <c r="O160" s="2" t="s">
        <v>43</v>
      </c>
      <c r="P160" s="2" t="s">
        <v>376</v>
      </c>
      <c r="Q160" s="6" t="s">
        <v>254</v>
      </c>
      <c r="R160" s="2" t="s">
        <v>73</v>
      </c>
    </row>
    <row r="161" spans="1:18" x14ac:dyDescent="0.25">
      <c r="A161" s="7" t="s">
        <v>23</v>
      </c>
      <c r="B161" s="7" t="s">
        <v>24</v>
      </c>
      <c r="C161" s="7" t="s">
        <v>25</v>
      </c>
      <c r="D161" s="8">
        <v>2800</v>
      </c>
      <c r="E161" s="9">
        <v>331.92</v>
      </c>
      <c r="F161" s="9">
        <f t="shared" si="4"/>
        <v>929376</v>
      </c>
      <c r="G161" s="2" t="s">
        <v>395</v>
      </c>
      <c r="H161" s="7" t="s">
        <v>26</v>
      </c>
      <c r="I161" s="10">
        <v>19</v>
      </c>
      <c r="J161" s="8">
        <v>2817</v>
      </c>
      <c r="K161" s="9">
        <v>543.20000000000005</v>
      </c>
      <c r="L161" s="9">
        <f t="shared" si="5"/>
        <v>1530194.4000000001</v>
      </c>
      <c r="M161" s="7" t="s">
        <v>322</v>
      </c>
      <c r="N161" s="7" t="s">
        <v>75</v>
      </c>
      <c r="O161" s="7" t="s">
        <v>20</v>
      </c>
      <c r="P161" s="2" t="s">
        <v>375</v>
      </c>
      <c r="Q161" s="11" t="s">
        <v>323</v>
      </c>
      <c r="R161" s="7" t="s">
        <v>52</v>
      </c>
    </row>
    <row r="162" spans="1:18" x14ac:dyDescent="0.25">
      <c r="A162" s="2" t="s">
        <v>392</v>
      </c>
      <c r="B162" s="2" t="s">
        <v>15</v>
      </c>
      <c r="C162" s="2" t="s">
        <v>16</v>
      </c>
      <c r="D162" s="3">
        <v>4700</v>
      </c>
      <c r="E162" s="4">
        <v>133.06</v>
      </c>
      <c r="F162" s="4">
        <f t="shared" si="4"/>
        <v>625382</v>
      </c>
      <c r="G162" s="2" t="s">
        <v>395</v>
      </c>
      <c r="H162" s="2" t="s">
        <v>17</v>
      </c>
      <c r="I162" s="5">
        <v>26</v>
      </c>
      <c r="J162" s="3">
        <v>3793</v>
      </c>
      <c r="K162" s="4">
        <v>54.23</v>
      </c>
      <c r="L162" s="4">
        <f t="shared" si="5"/>
        <v>205694.38999999998</v>
      </c>
      <c r="M162" s="2" t="s">
        <v>324</v>
      </c>
      <c r="N162" s="2" t="s">
        <v>50</v>
      </c>
      <c r="O162" s="2" t="s">
        <v>43</v>
      </c>
      <c r="P162" s="2" t="s">
        <v>376</v>
      </c>
      <c r="Q162" s="6" t="s">
        <v>325</v>
      </c>
      <c r="R162" s="2" t="s">
        <v>22</v>
      </c>
    </row>
    <row r="163" spans="1:18" x14ac:dyDescent="0.25">
      <c r="A163" s="7" t="s">
        <v>30</v>
      </c>
      <c r="B163" s="7" t="s">
        <v>31</v>
      </c>
      <c r="C163" s="7" t="s">
        <v>32</v>
      </c>
      <c r="D163" s="8">
        <v>3900</v>
      </c>
      <c r="E163" s="9">
        <v>107.42</v>
      </c>
      <c r="F163" s="9">
        <f t="shared" si="4"/>
        <v>418938</v>
      </c>
      <c r="G163" s="2" t="s">
        <v>395</v>
      </c>
      <c r="H163" s="7" t="s">
        <v>33</v>
      </c>
      <c r="I163" s="10">
        <v>11</v>
      </c>
      <c r="J163" s="8">
        <v>4216</v>
      </c>
      <c r="K163" s="9">
        <v>22.14</v>
      </c>
      <c r="L163" s="9">
        <f t="shared" si="5"/>
        <v>93342.24</v>
      </c>
      <c r="M163" s="7" t="s">
        <v>326</v>
      </c>
      <c r="N163" s="7" t="s">
        <v>28</v>
      </c>
      <c r="O163" s="2" t="s">
        <v>377</v>
      </c>
      <c r="P163" s="2" t="s">
        <v>378</v>
      </c>
      <c r="Q163" s="11" t="s">
        <v>327</v>
      </c>
      <c r="R163" s="7" t="s">
        <v>73</v>
      </c>
    </row>
    <row r="164" spans="1:18" x14ac:dyDescent="0.25">
      <c r="A164" s="2" t="s">
        <v>392</v>
      </c>
      <c r="B164" s="2" t="s">
        <v>15</v>
      </c>
      <c r="C164" s="2" t="s">
        <v>16</v>
      </c>
      <c r="D164" s="3">
        <v>4700</v>
      </c>
      <c r="E164" s="4">
        <v>144.28</v>
      </c>
      <c r="F164" s="4">
        <f t="shared" si="4"/>
        <v>678116</v>
      </c>
      <c r="G164" s="2" t="s">
        <v>395</v>
      </c>
      <c r="H164" s="2" t="s">
        <v>17</v>
      </c>
      <c r="I164" s="5">
        <v>39</v>
      </c>
      <c r="J164" s="3">
        <v>2515</v>
      </c>
      <c r="K164" s="4">
        <v>53.69</v>
      </c>
      <c r="L164" s="4">
        <f t="shared" si="5"/>
        <v>135030.35</v>
      </c>
      <c r="M164" s="2" t="s">
        <v>328</v>
      </c>
      <c r="N164" s="2" t="s">
        <v>42</v>
      </c>
      <c r="O164" s="2" t="s">
        <v>35</v>
      </c>
      <c r="P164" s="2" t="s">
        <v>376</v>
      </c>
      <c r="Q164" s="6" t="s">
        <v>161</v>
      </c>
      <c r="R164" s="2" t="s">
        <v>52</v>
      </c>
    </row>
    <row r="165" spans="1:18" x14ac:dyDescent="0.25">
      <c r="A165" s="7" t="s">
        <v>67</v>
      </c>
      <c r="B165" s="7" t="s">
        <v>68</v>
      </c>
      <c r="C165" s="7" t="s">
        <v>69</v>
      </c>
      <c r="D165" s="8">
        <v>4550</v>
      </c>
      <c r="E165" s="9">
        <v>431.4</v>
      </c>
      <c r="F165" s="9">
        <f t="shared" si="4"/>
        <v>1962870</v>
      </c>
      <c r="G165" s="2" t="s">
        <v>395</v>
      </c>
      <c r="H165" s="7" t="s">
        <v>70</v>
      </c>
      <c r="I165" s="10">
        <v>13</v>
      </c>
      <c r="J165" s="8">
        <v>2763</v>
      </c>
      <c r="K165" s="9">
        <v>2521.6799999999998</v>
      </c>
      <c r="L165" s="9">
        <f t="shared" si="5"/>
        <v>6967401.8399999999</v>
      </c>
      <c r="M165" s="7" t="s">
        <v>329</v>
      </c>
      <c r="N165" s="7" t="s">
        <v>42</v>
      </c>
      <c r="O165" s="7" t="s">
        <v>85</v>
      </c>
      <c r="P165" s="2" t="s">
        <v>376</v>
      </c>
      <c r="Q165" s="11" t="s">
        <v>72</v>
      </c>
      <c r="R165" s="7" t="s">
        <v>22</v>
      </c>
    </row>
    <row r="166" spans="1:18" x14ac:dyDescent="0.25">
      <c r="A166" s="2" t="s">
        <v>53</v>
      </c>
      <c r="B166" s="2" t="s">
        <v>54</v>
      </c>
      <c r="C166" s="2" t="s">
        <v>55</v>
      </c>
      <c r="D166" s="3">
        <v>3400</v>
      </c>
      <c r="E166" s="4">
        <v>81.900000000000006</v>
      </c>
      <c r="F166" s="4">
        <f t="shared" si="4"/>
        <v>278460</v>
      </c>
      <c r="G166" s="2" t="s">
        <v>395</v>
      </c>
      <c r="H166" s="2" t="s">
        <v>56</v>
      </c>
      <c r="I166" s="5">
        <v>33</v>
      </c>
      <c r="J166" s="3">
        <v>1606</v>
      </c>
      <c r="K166" s="4">
        <v>150.76</v>
      </c>
      <c r="L166" s="4">
        <f t="shared" si="5"/>
        <v>242120.56</v>
      </c>
      <c r="M166" s="2" t="s">
        <v>330</v>
      </c>
      <c r="N166" s="2" t="s">
        <v>50</v>
      </c>
      <c r="O166" s="2" t="s">
        <v>377</v>
      </c>
      <c r="P166" s="2" t="s">
        <v>378</v>
      </c>
      <c r="Q166" s="6" t="s">
        <v>331</v>
      </c>
      <c r="R166" s="2" t="s">
        <v>44</v>
      </c>
    </row>
    <row r="167" spans="1:18" x14ac:dyDescent="0.25">
      <c r="A167" s="2" t="s">
        <v>392</v>
      </c>
      <c r="B167" s="7" t="s">
        <v>15</v>
      </c>
      <c r="C167" s="7" t="s">
        <v>16</v>
      </c>
      <c r="D167" s="8">
        <v>3050</v>
      </c>
      <c r="E167" s="9">
        <v>134.16</v>
      </c>
      <c r="F167" s="9">
        <f t="shared" si="4"/>
        <v>409188</v>
      </c>
      <c r="G167" s="2" t="s">
        <v>395</v>
      </c>
      <c r="H167" s="7" t="s">
        <v>17</v>
      </c>
      <c r="I167" s="10">
        <v>15</v>
      </c>
      <c r="J167" s="8">
        <v>2444</v>
      </c>
      <c r="K167" s="9">
        <v>54.06</v>
      </c>
      <c r="L167" s="9">
        <f t="shared" si="5"/>
        <v>132122.64000000001</v>
      </c>
      <c r="M167" s="7" t="s">
        <v>332</v>
      </c>
      <c r="N167" s="7" t="s">
        <v>104</v>
      </c>
      <c r="O167" s="7" t="s">
        <v>43</v>
      </c>
      <c r="P167" s="2" t="s">
        <v>376</v>
      </c>
      <c r="Q167" s="11" t="s">
        <v>117</v>
      </c>
      <c r="R167" s="7" t="s">
        <v>22</v>
      </c>
    </row>
    <row r="168" spans="1:18" x14ac:dyDescent="0.25">
      <c r="A168" s="2" t="s">
        <v>67</v>
      </c>
      <c r="B168" s="2" t="s">
        <v>68</v>
      </c>
      <c r="C168" s="2" t="s">
        <v>69</v>
      </c>
      <c r="D168" s="3">
        <v>4150</v>
      </c>
      <c r="E168" s="4">
        <v>447.18</v>
      </c>
      <c r="F168" s="4">
        <f t="shared" si="4"/>
        <v>1855797</v>
      </c>
      <c r="G168" s="2" t="s">
        <v>395</v>
      </c>
      <c r="H168" s="2" t="s">
        <v>70</v>
      </c>
      <c r="I168" s="5">
        <v>42</v>
      </c>
      <c r="J168" s="3">
        <v>2398</v>
      </c>
      <c r="K168" s="4">
        <v>2576.17</v>
      </c>
      <c r="L168" s="4">
        <f t="shared" si="5"/>
        <v>6177655.6600000001</v>
      </c>
      <c r="M168" s="2" t="s">
        <v>333</v>
      </c>
      <c r="N168" s="2" t="s">
        <v>75</v>
      </c>
      <c r="O168" s="2" t="s">
        <v>20</v>
      </c>
      <c r="P168" s="2" t="s">
        <v>375</v>
      </c>
      <c r="Q168" s="6" t="s">
        <v>309</v>
      </c>
      <c r="R168" s="2" t="s">
        <v>73</v>
      </c>
    </row>
    <row r="169" spans="1:18" x14ac:dyDescent="0.25">
      <c r="A169" s="7" t="s">
        <v>53</v>
      </c>
      <c r="B169" s="7" t="s">
        <v>54</v>
      </c>
      <c r="C169" s="7" t="s">
        <v>55</v>
      </c>
      <c r="D169" s="8">
        <v>4900</v>
      </c>
      <c r="E169" s="9">
        <v>84.93</v>
      </c>
      <c r="F169" s="9">
        <f t="shared" si="4"/>
        <v>416157.00000000006</v>
      </c>
      <c r="G169" s="2" t="s">
        <v>395</v>
      </c>
      <c r="H169" s="7" t="s">
        <v>56</v>
      </c>
      <c r="I169" s="10">
        <v>29</v>
      </c>
      <c r="J169" s="8">
        <v>433</v>
      </c>
      <c r="K169" s="9">
        <v>152.13</v>
      </c>
      <c r="L169" s="9">
        <f t="shared" si="5"/>
        <v>65872.289999999994</v>
      </c>
      <c r="M169" s="7" t="s">
        <v>334</v>
      </c>
      <c r="N169" s="7" t="s">
        <v>50</v>
      </c>
      <c r="O169" s="7" t="s">
        <v>43</v>
      </c>
      <c r="P169" s="2" t="s">
        <v>376</v>
      </c>
      <c r="Q169" s="11" t="s">
        <v>240</v>
      </c>
      <c r="R169" s="7" t="s">
        <v>44</v>
      </c>
    </row>
    <row r="170" spans="1:18" x14ac:dyDescent="0.25">
      <c r="A170" s="2" t="s">
        <v>392</v>
      </c>
      <c r="B170" s="2" t="s">
        <v>15</v>
      </c>
      <c r="C170" s="2" t="s">
        <v>16</v>
      </c>
      <c r="D170" s="3">
        <v>1300</v>
      </c>
      <c r="E170" s="4">
        <v>137.13999999999999</v>
      </c>
      <c r="F170" s="4">
        <f t="shared" si="4"/>
        <v>178281.99999999997</v>
      </c>
      <c r="G170" s="2" t="s">
        <v>395</v>
      </c>
      <c r="H170" s="2" t="s">
        <v>17</v>
      </c>
      <c r="I170" s="5">
        <v>26</v>
      </c>
      <c r="J170" s="3">
        <v>1815</v>
      </c>
      <c r="K170" s="4">
        <v>54.12</v>
      </c>
      <c r="L170" s="4">
        <f t="shared" si="5"/>
        <v>98227.799999999988</v>
      </c>
      <c r="M170" s="2" t="s">
        <v>335</v>
      </c>
      <c r="N170" s="2" t="s">
        <v>28</v>
      </c>
      <c r="O170" s="2" t="s">
        <v>20</v>
      </c>
      <c r="P170" s="2" t="s">
        <v>375</v>
      </c>
      <c r="Q170" s="6" t="s">
        <v>58</v>
      </c>
      <c r="R170" s="2" t="s">
        <v>44</v>
      </c>
    </row>
    <row r="171" spans="1:18" x14ac:dyDescent="0.25">
      <c r="A171" s="2" t="s">
        <v>392</v>
      </c>
      <c r="B171" s="7" t="s">
        <v>15</v>
      </c>
      <c r="C171" s="7" t="s">
        <v>16</v>
      </c>
      <c r="D171" s="8">
        <v>4900</v>
      </c>
      <c r="E171" s="9">
        <v>138.55000000000001</v>
      </c>
      <c r="F171" s="9">
        <f t="shared" si="4"/>
        <v>678895</v>
      </c>
      <c r="G171" s="2" t="s">
        <v>395</v>
      </c>
      <c r="H171" s="7" t="s">
        <v>17</v>
      </c>
      <c r="I171" s="10">
        <v>15</v>
      </c>
      <c r="J171" s="8">
        <v>4851</v>
      </c>
      <c r="K171" s="9">
        <v>53.33</v>
      </c>
      <c r="L171" s="9">
        <f t="shared" si="5"/>
        <v>258703.83</v>
      </c>
      <c r="M171" s="7" t="s">
        <v>336</v>
      </c>
      <c r="N171" s="7" t="s">
        <v>42</v>
      </c>
      <c r="O171" s="7" t="s">
        <v>35</v>
      </c>
      <c r="P171" s="2" t="s">
        <v>376</v>
      </c>
      <c r="Q171" s="11" t="s">
        <v>58</v>
      </c>
      <c r="R171" s="7" t="s">
        <v>81</v>
      </c>
    </row>
    <row r="172" spans="1:18" x14ac:dyDescent="0.25">
      <c r="A172" s="2" t="s">
        <v>59</v>
      </c>
      <c r="B172" s="2" t="s">
        <v>60</v>
      </c>
      <c r="C172" s="2" t="s">
        <v>61</v>
      </c>
      <c r="D172" s="3">
        <v>3100</v>
      </c>
      <c r="E172" s="4">
        <v>285.11</v>
      </c>
      <c r="F172" s="4">
        <f t="shared" si="4"/>
        <v>883841</v>
      </c>
      <c r="G172" s="2" t="s">
        <v>395</v>
      </c>
      <c r="H172" s="2" t="s">
        <v>62</v>
      </c>
      <c r="I172" s="5">
        <v>36</v>
      </c>
      <c r="J172" s="3">
        <v>4874</v>
      </c>
      <c r="K172" s="4">
        <v>65.739999999999995</v>
      </c>
      <c r="L172" s="4">
        <f t="shared" si="5"/>
        <v>320416.75999999995</v>
      </c>
      <c r="M172" s="2" t="s">
        <v>337</v>
      </c>
      <c r="N172" s="2" t="s">
        <v>50</v>
      </c>
      <c r="O172" s="2" t="s">
        <v>43</v>
      </c>
      <c r="P172" s="2" t="s">
        <v>376</v>
      </c>
      <c r="Q172" s="6" t="s">
        <v>115</v>
      </c>
      <c r="R172" s="2" t="s">
        <v>81</v>
      </c>
    </row>
    <row r="173" spans="1:18" x14ac:dyDescent="0.25">
      <c r="A173" s="7" t="s">
        <v>45</v>
      </c>
      <c r="B173" s="7" t="s">
        <v>46</v>
      </c>
      <c r="C173" s="7" t="s">
        <v>47</v>
      </c>
      <c r="D173" s="8">
        <v>3650</v>
      </c>
      <c r="E173" s="9">
        <v>125.71</v>
      </c>
      <c r="F173" s="9">
        <f t="shared" si="4"/>
        <v>458841.5</v>
      </c>
      <c r="G173" s="2" t="s">
        <v>395</v>
      </c>
      <c r="H173" s="7" t="s">
        <v>48</v>
      </c>
      <c r="I173" s="10">
        <v>10</v>
      </c>
      <c r="J173" s="8">
        <v>4822</v>
      </c>
      <c r="K173" s="9">
        <v>185.52</v>
      </c>
      <c r="L173" s="9">
        <f t="shared" si="5"/>
        <v>894577.44000000006</v>
      </c>
      <c r="M173" s="7" t="s">
        <v>338</v>
      </c>
      <c r="N173" s="7" t="s">
        <v>50</v>
      </c>
      <c r="O173" s="7" t="s">
        <v>85</v>
      </c>
      <c r="P173" s="2" t="s">
        <v>376</v>
      </c>
      <c r="Q173" s="11" t="s">
        <v>161</v>
      </c>
      <c r="R173" s="7" t="s">
        <v>44</v>
      </c>
    </row>
    <row r="174" spans="1:18" x14ac:dyDescent="0.25">
      <c r="A174" s="2" t="s">
        <v>53</v>
      </c>
      <c r="B174" s="2" t="s">
        <v>54</v>
      </c>
      <c r="C174" s="2" t="s">
        <v>55</v>
      </c>
      <c r="D174" s="3">
        <v>1050</v>
      </c>
      <c r="E174" s="4">
        <v>88.5</v>
      </c>
      <c r="F174" s="4">
        <f t="shared" si="4"/>
        <v>92925</v>
      </c>
      <c r="G174" s="2" t="s">
        <v>395</v>
      </c>
      <c r="H174" s="2" t="s">
        <v>56</v>
      </c>
      <c r="I174" s="5">
        <v>31</v>
      </c>
      <c r="J174" s="3">
        <v>1577</v>
      </c>
      <c r="K174" s="4">
        <v>149.91</v>
      </c>
      <c r="L174" s="4">
        <f t="shared" si="5"/>
        <v>236408.07</v>
      </c>
      <c r="M174" s="2" t="s">
        <v>339</v>
      </c>
      <c r="N174" s="2" t="s">
        <v>42</v>
      </c>
      <c r="O174" s="2" t="s">
        <v>20</v>
      </c>
      <c r="P174" s="2" t="s">
        <v>375</v>
      </c>
      <c r="Q174" s="6" t="s">
        <v>161</v>
      </c>
      <c r="R174" s="2" t="s">
        <v>22</v>
      </c>
    </row>
    <row r="175" spans="1:18" x14ac:dyDescent="0.25">
      <c r="A175" s="7" t="s">
        <v>89</v>
      </c>
      <c r="B175" s="7" t="s">
        <v>90</v>
      </c>
      <c r="C175" s="7" t="s">
        <v>394</v>
      </c>
      <c r="D175" s="8">
        <v>1800</v>
      </c>
      <c r="E175" s="9">
        <v>110.57</v>
      </c>
      <c r="F175" s="9">
        <f t="shared" si="4"/>
        <v>199026</v>
      </c>
      <c r="G175" s="2" t="s">
        <v>395</v>
      </c>
      <c r="H175" s="7" t="s">
        <v>92</v>
      </c>
      <c r="I175" s="10">
        <v>25</v>
      </c>
      <c r="J175" s="8">
        <v>1168</v>
      </c>
      <c r="K175" s="9">
        <v>44.1</v>
      </c>
      <c r="L175" s="9">
        <f t="shared" si="5"/>
        <v>51508.800000000003</v>
      </c>
      <c r="M175" s="7" t="s">
        <v>340</v>
      </c>
      <c r="N175" s="7" t="s">
        <v>101</v>
      </c>
      <c r="O175" s="7" t="s">
        <v>35</v>
      </c>
      <c r="P175" s="2" t="s">
        <v>376</v>
      </c>
      <c r="Q175" s="11" t="s">
        <v>182</v>
      </c>
      <c r="R175" s="7" t="s">
        <v>73</v>
      </c>
    </row>
    <row r="176" spans="1:18" x14ac:dyDescent="0.25">
      <c r="A176" s="2" t="s">
        <v>53</v>
      </c>
      <c r="B176" s="2" t="s">
        <v>54</v>
      </c>
      <c r="C176" s="2" t="s">
        <v>55</v>
      </c>
      <c r="D176" s="3">
        <v>1850</v>
      </c>
      <c r="E176" s="4">
        <v>81.98</v>
      </c>
      <c r="F176" s="4">
        <f t="shared" si="4"/>
        <v>151663</v>
      </c>
      <c r="G176" s="2" t="s">
        <v>395</v>
      </c>
      <c r="H176" s="2" t="s">
        <v>56</v>
      </c>
      <c r="I176" s="5">
        <v>25</v>
      </c>
      <c r="J176" s="3">
        <v>949</v>
      </c>
      <c r="K176" s="4">
        <v>145.87</v>
      </c>
      <c r="L176" s="4">
        <f t="shared" si="5"/>
        <v>138430.63</v>
      </c>
      <c r="M176" s="2" t="s">
        <v>341</v>
      </c>
      <c r="N176" s="2" t="s">
        <v>28</v>
      </c>
      <c r="O176" s="2" t="s">
        <v>35</v>
      </c>
      <c r="P176" s="2" t="s">
        <v>376</v>
      </c>
      <c r="Q176" s="6" t="s">
        <v>119</v>
      </c>
      <c r="R176" s="2" t="s">
        <v>52</v>
      </c>
    </row>
    <row r="177" spans="1:18" x14ac:dyDescent="0.25">
      <c r="A177" s="7" t="s">
        <v>67</v>
      </c>
      <c r="B177" s="7" t="s">
        <v>68</v>
      </c>
      <c r="C177" s="7" t="s">
        <v>69</v>
      </c>
      <c r="D177" s="8">
        <v>2950</v>
      </c>
      <c r="E177" s="9">
        <v>461.19</v>
      </c>
      <c r="F177" s="9">
        <f t="shared" si="4"/>
        <v>1360510.5</v>
      </c>
      <c r="G177" s="2" t="s">
        <v>395</v>
      </c>
      <c r="H177" s="7" t="s">
        <v>70</v>
      </c>
      <c r="I177" s="10">
        <v>42</v>
      </c>
      <c r="J177" s="8">
        <v>1624</v>
      </c>
      <c r="K177" s="9">
        <v>2528.11</v>
      </c>
      <c r="L177" s="9">
        <f t="shared" si="5"/>
        <v>4105650.64</v>
      </c>
      <c r="M177" s="7" t="s">
        <v>342</v>
      </c>
      <c r="N177" s="7" t="s">
        <v>104</v>
      </c>
      <c r="O177" s="2" t="s">
        <v>377</v>
      </c>
      <c r="P177" s="2" t="s">
        <v>378</v>
      </c>
      <c r="Q177" s="11" t="s">
        <v>171</v>
      </c>
      <c r="R177" s="7" t="s">
        <v>22</v>
      </c>
    </row>
    <row r="178" spans="1:18" x14ac:dyDescent="0.25">
      <c r="A178" s="2" t="s">
        <v>53</v>
      </c>
      <c r="B178" s="2" t="s">
        <v>54</v>
      </c>
      <c r="C178" s="2" t="s">
        <v>55</v>
      </c>
      <c r="D178" s="3">
        <v>2500</v>
      </c>
      <c r="E178" s="4">
        <v>85</v>
      </c>
      <c r="F178" s="4">
        <f t="shared" si="4"/>
        <v>212500</v>
      </c>
      <c r="G178" s="2" t="s">
        <v>395</v>
      </c>
      <c r="H178" s="2" t="s">
        <v>56</v>
      </c>
      <c r="I178" s="5">
        <v>28</v>
      </c>
      <c r="J178" s="3">
        <v>3338</v>
      </c>
      <c r="K178" s="4">
        <v>153.85</v>
      </c>
      <c r="L178" s="4">
        <f t="shared" si="5"/>
        <v>513551.3</v>
      </c>
      <c r="M178" s="2" t="s">
        <v>343</v>
      </c>
      <c r="N178" s="2" t="s">
        <v>75</v>
      </c>
      <c r="O178" s="2" t="s">
        <v>377</v>
      </c>
      <c r="P178" s="2" t="s">
        <v>378</v>
      </c>
      <c r="Q178" s="6" t="s">
        <v>219</v>
      </c>
      <c r="R178" s="2" t="s">
        <v>44</v>
      </c>
    </row>
    <row r="179" spans="1:18" x14ac:dyDescent="0.25">
      <c r="A179" s="7" t="s">
        <v>45</v>
      </c>
      <c r="B179" s="7" t="s">
        <v>46</v>
      </c>
      <c r="C179" s="7" t="s">
        <v>47</v>
      </c>
      <c r="D179" s="8">
        <v>4650</v>
      </c>
      <c r="E179" s="9">
        <v>135.06</v>
      </c>
      <c r="F179" s="9">
        <f t="shared" si="4"/>
        <v>628029</v>
      </c>
      <c r="G179" s="2" t="s">
        <v>395</v>
      </c>
      <c r="H179" s="7" t="s">
        <v>48</v>
      </c>
      <c r="I179" s="10">
        <v>28</v>
      </c>
      <c r="J179" s="8">
        <v>3004</v>
      </c>
      <c r="K179" s="9">
        <v>182.01</v>
      </c>
      <c r="L179" s="9">
        <f t="shared" si="5"/>
        <v>546758.03999999992</v>
      </c>
      <c r="M179" s="7" t="s">
        <v>344</v>
      </c>
      <c r="N179" s="7" t="s">
        <v>101</v>
      </c>
      <c r="O179" s="7" t="s">
        <v>20</v>
      </c>
      <c r="P179" s="2" t="s">
        <v>375</v>
      </c>
      <c r="Q179" s="11" t="s">
        <v>345</v>
      </c>
      <c r="R179" s="7" t="s">
        <v>52</v>
      </c>
    </row>
    <row r="180" spans="1:18" x14ac:dyDescent="0.25">
      <c r="A180" s="2" t="s">
        <v>89</v>
      </c>
      <c r="B180" s="2" t="s">
        <v>90</v>
      </c>
      <c r="C180" s="7" t="s">
        <v>394</v>
      </c>
      <c r="D180" s="3">
        <v>2500</v>
      </c>
      <c r="E180" s="4">
        <v>111.14</v>
      </c>
      <c r="F180" s="4">
        <f t="shared" si="4"/>
        <v>277850</v>
      </c>
      <c r="G180" s="2" t="s">
        <v>395</v>
      </c>
      <c r="H180" s="2" t="s">
        <v>92</v>
      </c>
      <c r="I180" s="5">
        <v>11</v>
      </c>
      <c r="J180" s="3">
        <v>2945</v>
      </c>
      <c r="K180" s="4">
        <v>44.63</v>
      </c>
      <c r="L180" s="4">
        <f t="shared" si="5"/>
        <v>131435.35</v>
      </c>
      <c r="M180" s="2" t="s">
        <v>346</v>
      </c>
      <c r="N180" s="2" t="s">
        <v>75</v>
      </c>
      <c r="O180" s="2" t="s">
        <v>35</v>
      </c>
      <c r="P180" s="2" t="s">
        <v>376</v>
      </c>
      <c r="Q180" s="6" t="s">
        <v>123</v>
      </c>
      <c r="R180" s="2" t="s">
        <v>22</v>
      </c>
    </row>
    <row r="181" spans="1:18" x14ac:dyDescent="0.25">
      <c r="A181" s="7" t="s">
        <v>59</v>
      </c>
      <c r="B181" s="7" t="s">
        <v>60</v>
      </c>
      <c r="C181" s="7" t="s">
        <v>61</v>
      </c>
      <c r="D181" s="8">
        <v>2750</v>
      </c>
      <c r="E181" s="9">
        <v>288.35000000000002</v>
      </c>
      <c r="F181" s="9">
        <f t="shared" si="4"/>
        <v>792962.50000000012</v>
      </c>
      <c r="G181" s="2" t="s">
        <v>395</v>
      </c>
      <c r="H181" s="7" t="s">
        <v>62</v>
      </c>
      <c r="I181" s="10">
        <v>27</v>
      </c>
      <c r="J181" s="8">
        <v>1893</v>
      </c>
      <c r="K181" s="9">
        <v>65.239999999999995</v>
      </c>
      <c r="L181" s="9">
        <f t="shared" si="5"/>
        <v>123499.31999999999</v>
      </c>
      <c r="M181" s="7" t="s">
        <v>347</v>
      </c>
      <c r="N181" s="7" t="s">
        <v>28</v>
      </c>
      <c r="O181" s="2" t="s">
        <v>377</v>
      </c>
      <c r="P181" s="2" t="s">
        <v>378</v>
      </c>
      <c r="Q181" s="11" t="s">
        <v>348</v>
      </c>
      <c r="R181" s="7" t="s">
        <v>52</v>
      </c>
    </row>
    <row r="182" spans="1:18" x14ac:dyDescent="0.25">
      <c r="A182" s="2" t="s">
        <v>392</v>
      </c>
      <c r="B182" s="2" t="s">
        <v>15</v>
      </c>
      <c r="C182" s="2" t="s">
        <v>16</v>
      </c>
      <c r="D182" s="3">
        <v>3050</v>
      </c>
      <c r="E182" s="4">
        <v>137.84</v>
      </c>
      <c r="F182" s="4">
        <f t="shared" si="4"/>
        <v>420412</v>
      </c>
      <c r="G182" s="2" t="s">
        <v>395</v>
      </c>
      <c r="H182" s="2" t="s">
        <v>17</v>
      </c>
      <c r="I182" s="5">
        <v>33</v>
      </c>
      <c r="J182" s="3">
        <v>4428</v>
      </c>
      <c r="K182" s="4">
        <v>55.52</v>
      </c>
      <c r="L182" s="4">
        <f t="shared" si="5"/>
        <v>245842.56000000003</v>
      </c>
      <c r="M182" s="2" t="s">
        <v>349</v>
      </c>
      <c r="N182" s="2" t="s">
        <v>50</v>
      </c>
      <c r="O182" s="2" t="s">
        <v>85</v>
      </c>
      <c r="P182" s="2" t="s">
        <v>376</v>
      </c>
      <c r="Q182" s="6" t="s">
        <v>261</v>
      </c>
      <c r="R182" s="2" t="s">
        <v>22</v>
      </c>
    </row>
    <row r="183" spans="1:18" x14ac:dyDescent="0.25">
      <c r="A183" s="7" t="s">
        <v>45</v>
      </c>
      <c r="B183" s="7" t="s">
        <v>46</v>
      </c>
      <c r="C183" s="7" t="s">
        <v>47</v>
      </c>
      <c r="D183" s="8">
        <v>1650</v>
      </c>
      <c r="E183" s="9">
        <v>134.28</v>
      </c>
      <c r="F183" s="9">
        <f t="shared" si="4"/>
        <v>221562</v>
      </c>
      <c r="G183" s="2" t="s">
        <v>395</v>
      </c>
      <c r="H183" s="7" t="s">
        <v>48</v>
      </c>
      <c r="I183" s="10">
        <v>30</v>
      </c>
      <c r="J183" s="8">
        <v>3444</v>
      </c>
      <c r="K183" s="9">
        <v>185.13</v>
      </c>
      <c r="L183" s="9">
        <f t="shared" si="5"/>
        <v>637587.72</v>
      </c>
      <c r="M183" s="7" t="s">
        <v>350</v>
      </c>
      <c r="N183" s="7" t="s">
        <v>101</v>
      </c>
      <c r="O183" s="7" t="s">
        <v>85</v>
      </c>
      <c r="P183" s="2" t="s">
        <v>376</v>
      </c>
      <c r="Q183" s="11" t="s">
        <v>154</v>
      </c>
      <c r="R183" s="7" t="s">
        <v>22</v>
      </c>
    </row>
    <row r="184" spans="1:18" x14ac:dyDescent="0.25">
      <c r="A184" s="2" t="s">
        <v>45</v>
      </c>
      <c r="B184" s="2" t="s">
        <v>46</v>
      </c>
      <c r="C184" s="2" t="s">
        <v>47</v>
      </c>
      <c r="D184" s="3">
        <v>2550</v>
      </c>
      <c r="E184" s="4">
        <v>135.32</v>
      </c>
      <c r="F184" s="4">
        <f t="shared" si="4"/>
        <v>345066</v>
      </c>
      <c r="G184" s="2" t="s">
        <v>395</v>
      </c>
      <c r="H184" s="2" t="s">
        <v>48</v>
      </c>
      <c r="I184" s="5">
        <v>33</v>
      </c>
      <c r="J184" s="3">
        <v>4994</v>
      </c>
      <c r="K184" s="4">
        <v>184.25</v>
      </c>
      <c r="L184" s="4">
        <f t="shared" si="5"/>
        <v>920144.5</v>
      </c>
      <c r="M184" s="2" t="s">
        <v>351</v>
      </c>
      <c r="N184" s="2" t="s">
        <v>19</v>
      </c>
      <c r="O184" s="2" t="s">
        <v>43</v>
      </c>
      <c r="P184" s="2" t="s">
        <v>376</v>
      </c>
      <c r="Q184" s="6" t="s">
        <v>323</v>
      </c>
      <c r="R184" s="2" t="s">
        <v>52</v>
      </c>
    </row>
    <row r="185" spans="1:18" x14ac:dyDescent="0.25">
      <c r="A185" s="7" t="s">
        <v>30</v>
      </c>
      <c r="B185" s="7" t="s">
        <v>31</v>
      </c>
      <c r="C185" s="7" t="s">
        <v>32</v>
      </c>
      <c r="D185" s="8">
        <v>4450</v>
      </c>
      <c r="E185" s="9">
        <v>100.79</v>
      </c>
      <c r="F185" s="9">
        <f t="shared" si="4"/>
        <v>448515.5</v>
      </c>
      <c r="G185" s="2" t="s">
        <v>395</v>
      </c>
      <c r="H185" s="7" t="s">
        <v>33</v>
      </c>
      <c r="I185" s="10">
        <v>33</v>
      </c>
      <c r="J185" s="8">
        <v>1393</v>
      </c>
      <c r="K185" s="9">
        <v>22.82</v>
      </c>
      <c r="L185" s="9">
        <f t="shared" si="5"/>
        <v>31788.260000000002</v>
      </c>
      <c r="M185" s="7" t="s">
        <v>352</v>
      </c>
      <c r="N185" s="7" t="s">
        <v>101</v>
      </c>
      <c r="O185" s="2" t="s">
        <v>377</v>
      </c>
      <c r="P185" s="2" t="s">
        <v>378</v>
      </c>
      <c r="Q185" s="11" t="s">
        <v>180</v>
      </c>
      <c r="R185" s="7" t="s">
        <v>44</v>
      </c>
    </row>
    <row r="186" spans="1:18" x14ac:dyDescent="0.25">
      <c r="A186" s="2" t="s">
        <v>53</v>
      </c>
      <c r="B186" s="2" t="s">
        <v>54</v>
      </c>
      <c r="C186" s="2" t="s">
        <v>55</v>
      </c>
      <c r="D186" s="3">
        <v>2000</v>
      </c>
      <c r="E186" s="4">
        <v>85.9</v>
      </c>
      <c r="F186" s="4">
        <f t="shared" si="4"/>
        <v>171800</v>
      </c>
      <c r="G186" s="2" t="s">
        <v>395</v>
      </c>
      <c r="H186" s="2" t="s">
        <v>56</v>
      </c>
      <c r="I186" s="5">
        <v>15</v>
      </c>
      <c r="J186" s="3">
        <v>2177</v>
      </c>
      <c r="K186" s="4">
        <v>155.32</v>
      </c>
      <c r="L186" s="4">
        <f t="shared" si="5"/>
        <v>338131.64</v>
      </c>
      <c r="M186" s="2" t="s">
        <v>353</v>
      </c>
      <c r="N186" s="2" t="s">
        <v>50</v>
      </c>
      <c r="O186" s="2" t="s">
        <v>35</v>
      </c>
      <c r="P186" s="2" t="s">
        <v>376</v>
      </c>
      <c r="Q186" s="6" t="s">
        <v>354</v>
      </c>
      <c r="R186" s="2" t="s">
        <v>22</v>
      </c>
    </row>
    <row r="187" spans="1:18" x14ac:dyDescent="0.25">
      <c r="A187" s="7" t="s">
        <v>37</v>
      </c>
      <c r="B187" s="7" t="s">
        <v>38</v>
      </c>
      <c r="C187" s="7" t="s">
        <v>39</v>
      </c>
      <c r="D187" s="8">
        <v>4050</v>
      </c>
      <c r="E187" s="9">
        <v>91.31</v>
      </c>
      <c r="F187" s="9">
        <f t="shared" si="4"/>
        <v>369805.5</v>
      </c>
      <c r="G187" s="2" t="s">
        <v>395</v>
      </c>
      <c r="H187" s="7" t="s">
        <v>40</v>
      </c>
      <c r="I187" s="10">
        <v>37</v>
      </c>
      <c r="J187" s="8">
        <v>1250</v>
      </c>
      <c r="K187" s="9">
        <v>35.450000000000003</v>
      </c>
      <c r="L187" s="9">
        <f t="shared" si="5"/>
        <v>44312.5</v>
      </c>
      <c r="M187" s="7" t="s">
        <v>355</v>
      </c>
      <c r="N187" s="7" t="s">
        <v>101</v>
      </c>
      <c r="O187" s="7" t="s">
        <v>20</v>
      </c>
      <c r="P187" s="2" t="s">
        <v>375</v>
      </c>
      <c r="Q187" s="11" t="s">
        <v>86</v>
      </c>
      <c r="R187" s="7" t="s">
        <v>73</v>
      </c>
    </row>
    <row r="188" spans="1:18" x14ac:dyDescent="0.25">
      <c r="A188" s="2" t="s">
        <v>59</v>
      </c>
      <c r="B188" s="2" t="s">
        <v>60</v>
      </c>
      <c r="C188" s="2" t="s">
        <v>61</v>
      </c>
      <c r="D188" s="3">
        <v>3500</v>
      </c>
      <c r="E188" s="4">
        <v>291.56</v>
      </c>
      <c r="F188" s="4">
        <f t="shared" si="4"/>
        <v>1020460</v>
      </c>
      <c r="G188" s="2" t="s">
        <v>395</v>
      </c>
      <c r="H188" s="2" t="s">
        <v>62</v>
      </c>
      <c r="I188" s="5">
        <v>37</v>
      </c>
      <c r="J188" s="3">
        <v>3949</v>
      </c>
      <c r="K188" s="4">
        <v>63.5</v>
      </c>
      <c r="L188" s="4">
        <f t="shared" si="5"/>
        <v>250761.5</v>
      </c>
      <c r="M188" s="2" t="s">
        <v>356</v>
      </c>
      <c r="N188" s="2" t="s">
        <v>75</v>
      </c>
      <c r="O188" s="2" t="s">
        <v>43</v>
      </c>
      <c r="P188" s="2" t="s">
        <v>376</v>
      </c>
      <c r="Q188" s="6" t="s">
        <v>303</v>
      </c>
      <c r="R188" s="2" t="s">
        <v>52</v>
      </c>
    </row>
    <row r="189" spans="1:18" x14ac:dyDescent="0.25">
      <c r="A189" s="7" t="s">
        <v>106</v>
      </c>
      <c r="B189" s="7" t="s">
        <v>393</v>
      </c>
      <c r="C189" s="7" t="s">
        <v>108</v>
      </c>
      <c r="D189" s="8">
        <v>2150</v>
      </c>
      <c r="E189" s="9">
        <v>202.41</v>
      </c>
      <c r="F189" s="9">
        <f t="shared" si="4"/>
        <v>435181.5</v>
      </c>
      <c r="G189" s="2" t="s">
        <v>395</v>
      </c>
      <c r="H189" s="7" t="s">
        <v>109</v>
      </c>
      <c r="I189" s="10">
        <v>35</v>
      </c>
      <c r="J189" s="8">
        <v>2300</v>
      </c>
      <c r="K189" s="9">
        <v>8.7200000000000006</v>
      </c>
      <c r="L189" s="9">
        <f t="shared" si="5"/>
        <v>20056</v>
      </c>
      <c r="M189" s="7" t="s">
        <v>357</v>
      </c>
      <c r="N189" s="7" t="s">
        <v>75</v>
      </c>
      <c r="O189" s="7" t="s">
        <v>35</v>
      </c>
      <c r="P189" s="2" t="s">
        <v>376</v>
      </c>
      <c r="Q189" s="11" t="s">
        <v>358</v>
      </c>
      <c r="R189" s="7" t="s">
        <v>52</v>
      </c>
    </row>
    <row r="190" spans="1:18" x14ac:dyDescent="0.25">
      <c r="A190" s="2" t="s">
        <v>392</v>
      </c>
      <c r="B190" s="2" t="s">
        <v>15</v>
      </c>
      <c r="C190" s="2" t="s">
        <v>16</v>
      </c>
      <c r="D190" s="3">
        <v>3700</v>
      </c>
      <c r="E190" s="4">
        <v>133.07</v>
      </c>
      <c r="F190" s="4">
        <f t="shared" si="4"/>
        <v>492359</v>
      </c>
      <c r="G190" s="2" t="s">
        <v>395</v>
      </c>
      <c r="H190" s="2" t="s">
        <v>17</v>
      </c>
      <c r="I190" s="5">
        <v>19</v>
      </c>
      <c r="J190" s="3">
        <v>2195</v>
      </c>
      <c r="K190" s="4">
        <v>54.83</v>
      </c>
      <c r="L190" s="4">
        <f t="shared" si="5"/>
        <v>120351.84999999999</v>
      </c>
      <c r="M190" s="2" t="s">
        <v>359</v>
      </c>
      <c r="N190" s="2" t="s">
        <v>42</v>
      </c>
      <c r="O190" s="2" t="s">
        <v>85</v>
      </c>
      <c r="P190" s="2" t="s">
        <v>376</v>
      </c>
      <c r="Q190" s="6" t="s">
        <v>105</v>
      </c>
      <c r="R190" s="2" t="s">
        <v>52</v>
      </c>
    </row>
    <row r="191" spans="1:18" x14ac:dyDescent="0.25">
      <c r="A191" s="7" t="s">
        <v>37</v>
      </c>
      <c r="B191" s="7" t="s">
        <v>38</v>
      </c>
      <c r="C191" s="7" t="s">
        <v>39</v>
      </c>
      <c r="D191" s="8">
        <v>1950</v>
      </c>
      <c r="E191" s="9">
        <v>94.79</v>
      </c>
      <c r="F191" s="9">
        <f t="shared" si="4"/>
        <v>184840.5</v>
      </c>
      <c r="G191" s="2" t="s">
        <v>395</v>
      </c>
      <c r="H191" s="7" t="s">
        <v>40</v>
      </c>
      <c r="I191" s="10">
        <v>22</v>
      </c>
      <c r="J191" s="8">
        <v>3522</v>
      </c>
      <c r="K191" s="9">
        <v>33.729999999999997</v>
      </c>
      <c r="L191" s="9">
        <f t="shared" si="5"/>
        <v>118797.05999999998</v>
      </c>
      <c r="M191" s="7" t="s">
        <v>360</v>
      </c>
      <c r="N191" s="7" t="s">
        <v>75</v>
      </c>
      <c r="O191" s="2" t="s">
        <v>377</v>
      </c>
      <c r="P191" s="2" t="s">
        <v>378</v>
      </c>
      <c r="Q191" s="11" t="s">
        <v>21</v>
      </c>
      <c r="R191" s="7" t="s">
        <v>73</v>
      </c>
    </row>
    <row r="192" spans="1:18" x14ac:dyDescent="0.25">
      <c r="A192" s="2" t="s">
        <v>67</v>
      </c>
      <c r="B192" s="2" t="s">
        <v>68</v>
      </c>
      <c r="C192" s="2" t="s">
        <v>69</v>
      </c>
      <c r="D192" s="3">
        <v>3600</v>
      </c>
      <c r="E192" s="4">
        <v>471.6</v>
      </c>
      <c r="F192" s="4">
        <f t="shared" si="4"/>
        <v>1697760</v>
      </c>
      <c r="G192" s="2" t="s">
        <v>395</v>
      </c>
      <c r="H192" s="2" t="s">
        <v>70</v>
      </c>
      <c r="I192" s="5">
        <v>11</v>
      </c>
      <c r="J192" s="3">
        <v>1495</v>
      </c>
      <c r="K192" s="4">
        <v>2417.41</v>
      </c>
      <c r="L192" s="4">
        <f t="shared" si="5"/>
        <v>3614027.9499999997</v>
      </c>
      <c r="M192" s="2" t="s">
        <v>361</v>
      </c>
      <c r="N192" s="2" t="s">
        <v>28</v>
      </c>
      <c r="O192" s="2" t="s">
        <v>377</v>
      </c>
      <c r="P192" s="2" t="s">
        <v>378</v>
      </c>
      <c r="Q192" s="6" t="s">
        <v>362</v>
      </c>
      <c r="R192" s="2" t="s">
        <v>73</v>
      </c>
    </row>
    <row r="193" spans="1:18" x14ac:dyDescent="0.25">
      <c r="A193" s="7" t="s">
        <v>89</v>
      </c>
      <c r="B193" s="7" t="s">
        <v>90</v>
      </c>
      <c r="C193" s="7" t="s">
        <v>394</v>
      </c>
      <c r="D193" s="8">
        <v>3200</v>
      </c>
      <c r="E193" s="9">
        <v>107.9</v>
      </c>
      <c r="F193" s="9">
        <f t="shared" si="4"/>
        <v>345280</v>
      </c>
      <c r="G193" s="2" t="s">
        <v>395</v>
      </c>
      <c r="H193" s="7" t="s">
        <v>92</v>
      </c>
      <c r="I193" s="10">
        <v>21</v>
      </c>
      <c r="J193" s="8">
        <v>2152</v>
      </c>
      <c r="K193" s="9">
        <v>45.03</v>
      </c>
      <c r="L193" s="9">
        <f t="shared" si="5"/>
        <v>96904.56</v>
      </c>
      <c r="M193" s="7" t="s">
        <v>363</v>
      </c>
      <c r="N193" s="7" t="s">
        <v>42</v>
      </c>
      <c r="O193" s="2" t="s">
        <v>377</v>
      </c>
      <c r="P193" s="2" t="s">
        <v>378</v>
      </c>
      <c r="Q193" s="11" t="s">
        <v>148</v>
      </c>
      <c r="R193" s="7" t="s">
        <v>81</v>
      </c>
    </row>
    <row r="194" spans="1:18" x14ac:dyDescent="0.25">
      <c r="A194" s="2" t="s">
        <v>45</v>
      </c>
      <c r="B194" s="2" t="s">
        <v>46</v>
      </c>
      <c r="C194" s="2" t="s">
        <v>47</v>
      </c>
      <c r="D194" s="3">
        <v>1800</v>
      </c>
      <c r="E194" s="4">
        <v>125.25</v>
      </c>
      <c r="F194" s="4">
        <f t="shared" ref="F194:F201" si="6">D194*E194</f>
        <v>225450</v>
      </c>
      <c r="G194" s="2" t="s">
        <v>395</v>
      </c>
      <c r="H194" s="2" t="s">
        <v>48</v>
      </c>
      <c r="I194" s="5">
        <v>31</v>
      </c>
      <c r="J194" s="3">
        <v>1197</v>
      </c>
      <c r="K194" s="4">
        <v>185.04</v>
      </c>
      <c r="L194" s="4">
        <f t="shared" ref="L194:L201" si="7">J194*K194</f>
        <v>221492.88</v>
      </c>
      <c r="M194" s="2" t="s">
        <v>364</v>
      </c>
      <c r="N194" s="2" t="s">
        <v>19</v>
      </c>
      <c r="O194" s="2" t="s">
        <v>43</v>
      </c>
      <c r="P194" s="2" t="s">
        <v>376</v>
      </c>
      <c r="Q194" s="6" t="s">
        <v>266</v>
      </c>
      <c r="R194" s="2" t="s">
        <v>22</v>
      </c>
    </row>
    <row r="195" spans="1:18" x14ac:dyDescent="0.25">
      <c r="A195" s="7" t="s">
        <v>53</v>
      </c>
      <c r="B195" s="7" t="s">
        <v>54</v>
      </c>
      <c r="C195" s="7" t="s">
        <v>55</v>
      </c>
      <c r="D195" s="8">
        <v>2650</v>
      </c>
      <c r="E195" s="9">
        <v>88.3</v>
      </c>
      <c r="F195" s="9">
        <f t="shared" si="6"/>
        <v>233995</v>
      </c>
      <c r="G195" s="2" t="s">
        <v>395</v>
      </c>
      <c r="H195" s="7" t="s">
        <v>56</v>
      </c>
      <c r="I195" s="10">
        <v>22</v>
      </c>
      <c r="J195" s="8">
        <v>1074</v>
      </c>
      <c r="K195" s="9">
        <v>148.26</v>
      </c>
      <c r="L195" s="9">
        <f t="shared" si="7"/>
        <v>159231.24</v>
      </c>
      <c r="M195" s="7" t="s">
        <v>365</v>
      </c>
      <c r="N195" s="7" t="s">
        <v>104</v>
      </c>
      <c r="O195" s="2" t="s">
        <v>377</v>
      </c>
      <c r="P195" s="2" t="s">
        <v>378</v>
      </c>
      <c r="Q195" s="11" t="s">
        <v>266</v>
      </c>
      <c r="R195" s="7" t="s">
        <v>81</v>
      </c>
    </row>
    <row r="196" spans="1:18" x14ac:dyDescent="0.25">
      <c r="A196" s="2" t="s">
        <v>89</v>
      </c>
      <c r="B196" s="2" t="s">
        <v>90</v>
      </c>
      <c r="C196" s="7" t="s">
        <v>394</v>
      </c>
      <c r="D196" s="3">
        <v>1450</v>
      </c>
      <c r="E196" s="4">
        <v>112.9</v>
      </c>
      <c r="F196" s="4">
        <f t="shared" si="6"/>
        <v>163705</v>
      </c>
      <c r="G196" s="2" t="s">
        <v>395</v>
      </c>
      <c r="H196" s="2" t="s">
        <v>92</v>
      </c>
      <c r="I196" s="5">
        <v>12</v>
      </c>
      <c r="J196" s="3">
        <v>3372</v>
      </c>
      <c r="K196" s="4">
        <v>44.91</v>
      </c>
      <c r="L196" s="4">
        <f t="shared" si="7"/>
        <v>151436.51999999999</v>
      </c>
      <c r="M196" s="2" t="s">
        <v>366</v>
      </c>
      <c r="N196" s="2" t="s">
        <v>50</v>
      </c>
      <c r="O196" s="2" t="s">
        <v>35</v>
      </c>
      <c r="P196" s="2" t="s">
        <v>376</v>
      </c>
      <c r="Q196" s="6" t="s">
        <v>66</v>
      </c>
      <c r="R196" s="2" t="s">
        <v>73</v>
      </c>
    </row>
    <row r="197" spans="1:18" x14ac:dyDescent="0.25">
      <c r="A197" s="7" t="s">
        <v>53</v>
      </c>
      <c r="B197" s="7" t="s">
        <v>54</v>
      </c>
      <c r="C197" s="7" t="s">
        <v>55</v>
      </c>
      <c r="D197" s="8">
        <v>2200</v>
      </c>
      <c r="E197" s="9">
        <v>83.6</v>
      </c>
      <c r="F197" s="9">
        <f t="shared" si="6"/>
        <v>183920</v>
      </c>
      <c r="G197" s="2" t="s">
        <v>395</v>
      </c>
      <c r="H197" s="7" t="s">
        <v>56</v>
      </c>
      <c r="I197" s="10">
        <v>15</v>
      </c>
      <c r="J197" s="8">
        <v>3722</v>
      </c>
      <c r="K197" s="9">
        <v>144.32</v>
      </c>
      <c r="L197" s="9">
        <f t="shared" si="7"/>
        <v>537159.03999999992</v>
      </c>
      <c r="M197" s="7" t="s">
        <v>367</v>
      </c>
      <c r="N197" s="7" t="s">
        <v>19</v>
      </c>
      <c r="O197" s="2" t="s">
        <v>377</v>
      </c>
      <c r="P197" s="2" t="s">
        <v>378</v>
      </c>
      <c r="Q197" s="11" t="s">
        <v>225</v>
      </c>
      <c r="R197" s="7" t="s">
        <v>44</v>
      </c>
    </row>
    <row r="198" spans="1:18" x14ac:dyDescent="0.25">
      <c r="A198" s="2" t="s">
        <v>45</v>
      </c>
      <c r="B198" s="2" t="s">
        <v>46</v>
      </c>
      <c r="C198" s="2" t="s">
        <v>47</v>
      </c>
      <c r="D198" s="3">
        <v>1850</v>
      </c>
      <c r="E198" s="4">
        <v>133.37</v>
      </c>
      <c r="F198" s="4">
        <f t="shared" si="6"/>
        <v>246734.5</v>
      </c>
      <c r="G198" s="2" t="s">
        <v>395</v>
      </c>
      <c r="H198" s="2" t="s">
        <v>48</v>
      </c>
      <c r="I198" s="5">
        <v>12</v>
      </c>
      <c r="J198" s="3">
        <v>2056</v>
      </c>
      <c r="K198" s="4">
        <v>180.1</v>
      </c>
      <c r="L198" s="4">
        <f t="shared" si="7"/>
        <v>370285.6</v>
      </c>
      <c r="M198" s="2" t="s">
        <v>368</v>
      </c>
      <c r="N198" s="2" t="s">
        <v>42</v>
      </c>
      <c r="O198" s="2" t="s">
        <v>35</v>
      </c>
      <c r="P198" s="2" t="s">
        <v>376</v>
      </c>
      <c r="Q198" s="6" t="s">
        <v>130</v>
      </c>
      <c r="R198" s="2" t="s">
        <v>81</v>
      </c>
    </row>
    <row r="199" spans="1:18" x14ac:dyDescent="0.25">
      <c r="A199" s="7" t="s">
        <v>67</v>
      </c>
      <c r="B199" s="7" t="s">
        <v>68</v>
      </c>
      <c r="C199" s="7" t="s">
        <v>69</v>
      </c>
      <c r="D199" s="8">
        <v>1500</v>
      </c>
      <c r="E199" s="9">
        <v>466.79</v>
      </c>
      <c r="F199" s="9">
        <f t="shared" si="6"/>
        <v>700185</v>
      </c>
      <c r="G199" s="2" t="s">
        <v>395</v>
      </c>
      <c r="H199" s="7" t="s">
        <v>70</v>
      </c>
      <c r="I199" s="10">
        <v>38</v>
      </c>
      <c r="J199" s="8">
        <v>4323</v>
      </c>
      <c r="K199" s="9">
        <v>2453.1999999999998</v>
      </c>
      <c r="L199" s="9">
        <f t="shared" si="7"/>
        <v>10605183.6</v>
      </c>
      <c r="M199" s="7" t="s">
        <v>369</v>
      </c>
      <c r="N199" s="7" t="s">
        <v>42</v>
      </c>
      <c r="O199" s="7" t="s">
        <v>20</v>
      </c>
      <c r="P199" s="2" t="s">
        <v>375</v>
      </c>
      <c r="Q199" s="11" t="s">
        <v>211</v>
      </c>
      <c r="R199" s="7" t="s">
        <v>44</v>
      </c>
    </row>
    <row r="200" spans="1:18" x14ac:dyDescent="0.25">
      <c r="A200" s="2" t="s">
        <v>53</v>
      </c>
      <c r="B200" s="2" t="s">
        <v>54</v>
      </c>
      <c r="C200" s="2" t="s">
        <v>55</v>
      </c>
      <c r="D200" s="3">
        <v>4000</v>
      </c>
      <c r="E200" s="4">
        <v>85.03</v>
      </c>
      <c r="F200" s="4">
        <f t="shared" si="6"/>
        <v>340120</v>
      </c>
      <c r="G200" s="2" t="s">
        <v>395</v>
      </c>
      <c r="H200" s="2" t="s">
        <v>56</v>
      </c>
      <c r="I200" s="5">
        <v>24</v>
      </c>
      <c r="J200" s="3">
        <v>1392</v>
      </c>
      <c r="K200" s="4">
        <v>151.30000000000001</v>
      </c>
      <c r="L200" s="4">
        <f t="shared" si="7"/>
        <v>210609.6</v>
      </c>
      <c r="M200" s="2" t="s">
        <v>370</v>
      </c>
      <c r="N200" s="2" t="s">
        <v>50</v>
      </c>
      <c r="O200" s="2" t="s">
        <v>85</v>
      </c>
      <c r="P200" s="2" t="s">
        <v>376</v>
      </c>
      <c r="Q200" s="6" t="s">
        <v>204</v>
      </c>
      <c r="R200" s="2" t="s">
        <v>81</v>
      </c>
    </row>
    <row r="201" spans="1:18" x14ac:dyDescent="0.25">
      <c r="A201" s="7" t="s">
        <v>89</v>
      </c>
      <c r="B201" s="7" t="s">
        <v>90</v>
      </c>
      <c r="C201" s="7" t="s">
        <v>394</v>
      </c>
      <c r="D201" s="8">
        <v>3300</v>
      </c>
      <c r="E201" s="9">
        <v>114.88</v>
      </c>
      <c r="F201" s="9">
        <f t="shared" si="6"/>
        <v>379104</v>
      </c>
      <c r="G201" s="2" t="s">
        <v>395</v>
      </c>
      <c r="H201" s="7" t="s">
        <v>92</v>
      </c>
      <c r="I201" s="10">
        <v>42</v>
      </c>
      <c r="J201" s="8">
        <v>608</v>
      </c>
      <c r="K201" s="9">
        <v>45.3</v>
      </c>
      <c r="L201" s="9">
        <f t="shared" si="7"/>
        <v>27542.399999999998</v>
      </c>
      <c r="M201" s="7" t="s">
        <v>371</v>
      </c>
      <c r="N201" s="7" t="s">
        <v>75</v>
      </c>
      <c r="O201" s="7" t="s">
        <v>85</v>
      </c>
      <c r="P201" s="2" t="s">
        <v>376</v>
      </c>
      <c r="Q201" s="11" t="s">
        <v>142</v>
      </c>
      <c r="R201" s="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38B3-AB4E-4AE6-B24B-8E6F1A038DE8}">
  <sheetPr codeName="Sheet1"/>
  <dimension ref="A1:S201"/>
  <sheetViews>
    <sheetView zoomScale="75" zoomScaleNormal="110" workbookViewId="0"/>
  </sheetViews>
  <sheetFormatPr defaultRowHeight="15" x14ac:dyDescent="0.25"/>
  <cols>
    <col min="1" max="1" width="22" customWidth="1"/>
    <col min="2" max="2" width="26" customWidth="1"/>
    <col min="3" max="3" width="24" customWidth="1"/>
    <col min="4" max="4" width="20" customWidth="1"/>
    <col min="5" max="5" width="17.28515625" bestFit="1" customWidth="1"/>
    <col min="6" max="6" width="23" customWidth="1"/>
    <col min="7" max="7" width="14.85546875" customWidth="1"/>
    <col min="8" max="8" width="18" customWidth="1"/>
    <col min="9" max="9" width="25.42578125" customWidth="1"/>
    <col min="10" max="10" width="20" customWidth="1"/>
    <col min="11" max="12" width="22" customWidth="1"/>
    <col min="13" max="13" width="14" customWidth="1"/>
    <col min="14" max="14" width="17" customWidth="1"/>
    <col min="15" max="17" width="21" customWidth="1"/>
    <col min="18" max="18" width="16" customWidth="1"/>
    <col min="19" max="19" width="26" customWidth="1"/>
  </cols>
  <sheetData>
    <row r="1" spans="1:19" ht="27.95" customHeight="1" x14ac:dyDescent="0.25">
      <c r="A1" s="1" t="s">
        <v>0</v>
      </c>
      <c r="B1" s="1" t="s">
        <v>1</v>
      </c>
      <c r="C1" s="1" t="s">
        <v>2</v>
      </c>
      <c r="D1" s="1" t="s">
        <v>404</v>
      </c>
      <c r="E1" s="1" t="s">
        <v>4</v>
      </c>
      <c r="F1" s="1" t="s">
        <v>373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398</v>
      </c>
      <c r="L1" s="1" t="s">
        <v>379</v>
      </c>
      <c r="M1" s="1" t="s">
        <v>9</v>
      </c>
      <c r="N1" s="1" t="s">
        <v>10</v>
      </c>
      <c r="O1" s="1" t="s">
        <v>11</v>
      </c>
      <c r="P1" s="1" t="s">
        <v>399</v>
      </c>
      <c r="Q1" s="1" t="s">
        <v>374</v>
      </c>
      <c r="R1" s="1" t="s">
        <v>12</v>
      </c>
      <c r="S1" s="1" t="s">
        <v>396</v>
      </c>
    </row>
    <row r="2" spans="1:19" x14ac:dyDescent="0.25">
      <c r="A2" s="2" t="s">
        <v>14</v>
      </c>
      <c r="B2" s="2" t="s">
        <v>15</v>
      </c>
      <c r="C2" s="2" t="s">
        <v>16</v>
      </c>
      <c r="D2" s="3">
        <v>2200</v>
      </c>
      <c r="E2" s="4">
        <v>145.72</v>
      </c>
      <c r="F2" s="4">
        <f t="shared" ref="F2:F9" si="0">D2*E2</f>
        <v>320584</v>
      </c>
      <c r="G2" s="2" t="s">
        <v>382</v>
      </c>
      <c r="H2" s="2" t="s">
        <v>17</v>
      </c>
      <c r="I2" s="5">
        <v>13</v>
      </c>
      <c r="J2" s="3">
        <v>1916</v>
      </c>
      <c r="K2" s="4">
        <v>56.84</v>
      </c>
      <c r="L2" s="4">
        <f t="shared" ref="L2:L9" si="1">J2*K2</f>
        <v>108905.44</v>
      </c>
      <c r="M2" s="2" t="s">
        <v>18</v>
      </c>
      <c r="N2" s="2" t="s">
        <v>19</v>
      </c>
      <c r="O2" s="2" t="s">
        <v>20</v>
      </c>
      <c r="P2" s="2" t="s">
        <v>400</v>
      </c>
      <c r="Q2" s="2" t="s">
        <v>375</v>
      </c>
      <c r="R2" s="6" t="s">
        <v>21</v>
      </c>
      <c r="S2" s="2" t="s">
        <v>397</v>
      </c>
    </row>
    <row r="3" spans="1:19" x14ac:dyDescent="0.25">
      <c r="A3" s="7" t="s">
        <v>23</v>
      </c>
      <c r="B3" s="7" t="s">
        <v>24</v>
      </c>
      <c r="C3" s="7" t="s">
        <v>25</v>
      </c>
      <c r="D3" s="8">
        <v>2600</v>
      </c>
      <c r="E3" s="9">
        <v>310.19</v>
      </c>
      <c r="F3" s="9">
        <f t="shared" si="0"/>
        <v>806494</v>
      </c>
      <c r="G3" s="7" t="s">
        <v>383</v>
      </c>
      <c r="H3" s="7" t="s">
        <v>26</v>
      </c>
      <c r="I3" s="10">
        <v>33</v>
      </c>
      <c r="J3" s="8">
        <v>2056</v>
      </c>
      <c r="K3" s="9">
        <v>556.04999999999995</v>
      </c>
      <c r="L3" s="9">
        <f t="shared" si="1"/>
        <v>1143238.7999999998</v>
      </c>
      <c r="M3" s="7" t="s">
        <v>27</v>
      </c>
      <c r="N3" s="7" t="s">
        <v>28</v>
      </c>
      <c r="O3" s="7" t="s">
        <v>20</v>
      </c>
      <c r="P3" s="2" t="s">
        <v>400</v>
      </c>
      <c r="Q3" s="2" t="s">
        <v>375</v>
      </c>
      <c r="R3" s="11" t="s">
        <v>29</v>
      </c>
      <c r="S3" s="2" t="s">
        <v>397</v>
      </c>
    </row>
    <row r="4" spans="1:19" x14ac:dyDescent="0.25">
      <c r="A4" s="2" t="s">
        <v>30</v>
      </c>
      <c r="B4" s="2" t="s">
        <v>31</v>
      </c>
      <c r="C4" s="2" t="s">
        <v>32</v>
      </c>
      <c r="D4" s="3">
        <v>2900</v>
      </c>
      <c r="E4" s="4">
        <v>101.97</v>
      </c>
      <c r="F4" s="4">
        <f t="shared" si="0"/>
        <v>295713</v>
      </c>
      <c r="G4" s="2" t="s">
        <v>388</v>
      </c>
      <c r="H4" s="2" t="s">
        <v>33</v>
      </c>
      <c r="I4" s="5">
        <v>27</v>
      </c>
      <c r="J4" s="3">
        <v>3564</v>
      </c>
      <c r="K4" s="4">
        <v>21.26</v>
      </c>
      <c r="L4" s="4">
        <f t="shared" si="1"/>
        <v>75770.64</v>
      </c>
      <c r="M4" s="2" t="s">
        <v>34</v>
      </c>
      <c r="N4" s="2" t="s">
        <v>28</v>
      </c>
      <c r="O4" s="2" t="s">
        <v>35</v>
      </c>
      <c r="P4" s="2" t="s">
        <v>403</v>
      </c>
      <c r="Q4" s="2" t="s">
        <v>376</v>
      </c>
      <c r="R4" s="6" t="s">
        <v>36</v>
      </c>
      <c r="S4" s="2" t="s">
        <v>397</v>
      </c>
    </row>
    <row r="5" spans="1:19" x14ac:dyDescent="0.25">
      <c r="A5" s="7" t="s">
        <v>37</v>
      </c>
      <c r="B5" s="7" t="s">
        <v>38</v>
      </c>
      <c r="C5" s="7" t="s">
        <v>39</v>
      </c>
      <c r="D5" s="8">
        <v>4400</v>
      </c>
      <c r="E5" s="9">
        <v>91.15</v>
      </c>
      <c r="F5" s="9">
        <f t="shared" si="0"/>
        <v>401060</v>
      </c>
      <c r="G5" s="7" t="s">
        <v>391</v>
      </c>
      <c r="H5" s="7" t="s">
        <v>40</v>
      </c>
      <c r="I5" s="10">
        <v>33</v>
      </c>
      <c r="J5" s="8">
        <v>1356</v>
      </c>
      <c r="K5" s="9">
        <v>36.36</v>
      </c>
      <c r="L5" s="9">
        <f t="shared" si="1"/>
        <v>49304.159999999996</v>
      </c>
      <c r="M5" s="7" t="s">
        <v>41</v>
      </c>
      <c r="N5" s="7" t="s">
        <v>42</v>
      </c>
      <c r="O5" s="7" t="s">
        <v>43</v>
      </c>
      <c r="P5" s="7" t="s">
        <v>405</v>
      </c>
      <c r="Q5" s="2" t="s">
        <v>376</v>
      </c>
      <c r="R5" s="11" t="s">
        <v>29</v>
      </c>
      <c r="S5" s="7" t="s">
        <v>44</v>
      </c>
    </row>
    <row r="6" spans="1:19" x14ac:dyDescent="0.25">
      <c r="A6" s="2" t="s">
        <v>45</v>
      </c>
      <c r="B6" s="2" t="s">
        <v>46</v>
      </c>
      <c r="C6" s="2" t="s">
        <v>47</v>
      </c>
      <c r="D6" s="3">
        <v>3300</v>
      </c>
      <c r="E6" s="4">
        <v>135.15</v>
      </c>
      <c r="F6" s="4">
        <f t="shared" si="0"/>
        <v>445995</v>
      </c>
      <c r="G6" s="2" t="s">
        <v>385</v>
      </c>
      <c r="H6" s="2" t="s">
        <v>48</v>
      </c>
      <c r="I6" s="5">
        <v>41</v>
      </c>
      <c r="J6" s="3">
        <v>1584</v>
      </c>
      <c r="K6" s="4">
        <v>182.75</v>
      </c>
      <c r="L6" s="4">
        <f t="shared" si="1"/>
        <v>289476</v>
      </c>
      <c r="M6" s="2" t="s">
        <v>49</v>
      </c>
      <c r="N6" s="2" t="s">
        <v>50</v>
      </c>
      <c r="O6" s="2" t="s">
        <v>35</v>
      </c>
      <c r="P6" s="2" t="s">
        <v>403</v>
      </c>
      <c r="Q6" s="2" t="s">
        <v>376</v>
      </c>
      <c r="R6" s="6" t="s">
        <v>51</v>
      </c>
      <c r="S6" s="2" t="s">
        <v>52</v>
      </c>
    </row>
    <row r="7" spans="1:19" x14ac:dyDescent="0.25">
      <c r="A7" s="7" t="s">
        <v>53</v>
      </c>
      <c r="B7" s="7" t="s">
        <v>54</v>
      </c>
      <c r="C7" s="7" t="s">
        <v>55</v>
      </c>
      <c r="D7" s="8">
        <v>4650</v>
      </c>
      <c r="E7" s="9">
        <v>83.69</v>
      </c>
      <c r="F7" s="9">
        <f t="shared" si="0"/>
        <v>389158.5</v>
      </c>
      <c r="G7" s="7" t="s">
        <v>389</v>
      </c>
      <c r="H7" s="7" t="s">
        <v>56</v>
      </c>
      <c r="I7" s="10">
        <v>17</v>
      </c>
      <c r="J7" s="8">
        <v>3873</v>
      </c>
      <c r="K7" s="9">
        <v>153.51</v>
      </c>
      <c r="L7" s="9">
        <f t="shared" si="1"/>
        <v>594544.23</v>
      </c>
      <c r="M7" s="7" t="s">
        <v>57</v>
      </c>
      <c r="N7" s="7" t="s">
        <v>19</v>
      </c>
      <c r="O7" s="7" t="s">
        <v>20</v>
      </c>
      <c r="P7" s="2" t="s">
        <v>400</v>
      </c>
      <c r="Q7" s="2" t="s">
        <v>375</v>
      </c>
      <c r="R7" s="11" t="s">
        <v>58</v>
      </c>
      <c r="S7" s="7" t="s">
        <v>44</v>
      </c>
    </row>
    <row r="8" spans="1:19" x14ac:dyDescent="0.25">
      <c r="A8" s="2" t="s">
        <v>59</v>
      </c>
      <c r="B8" s="2" t="s">
        <v>60</v>
      </c>
      <c r="C8" s="2" t="s">
        <v>61</v>
      </c>
      <c r="D8" s="3">
        <v>3850</v>
      </c>
      <c r="E8" s="4">
        <v>303.77999999999997</v>
      </c>
      <c r="F8" s="4">
        <f t="shared" si="0"/>
        <v>1169553</v>
      </c>
      <c r="G8" s="2" t="s">
        <v>384</v>
      </c>
      <c r="H8" s="2" t="s">
        <v>62</v>
      </c>
      <c r="I8" s="5">
        <v>19</v>
      </c>
      <c r="J8" s="3">
        <v>653</v>
      </c>
      <c r="K8" s="4">
        <v>62.71</v>
      </c>
      <c r="L8" s="4">
        <f t="shared" si="1"/>
        <v>40949.629999999997</v>
      </c>
      <c r="M8" s="2" t="s">
        <v>63</v>
      </c>
      <c r="N8" s="2" t="s">
        <v>19</v>
      </c>
      <c r="O8" s="2" t="s">
        <v>43</v>
      </c>
      <c r="P8" s="7" t="s">
        <v>405</v>
      </c>
      <c r="Q8" s="2" t="s">
        <v>376</v>
      </c>
      <c r="R8" s="6" t="s">
        <v>64</v>
      </c>
      <c r="S8" s="2" t="s">
        <v>52</v>
      </c>
    </row>
    <row r="9" spans="1:19" x14ac:dyDescent="0.25">
      <c r="A9" s="7" t="s">
        <v>37</v>
      </c>
      <c r="B9" s="7" t="s">
        <v>38</v>
      </c>
      <c r="C9" s="7" t="s">
        <v>39</v>
      </c>
      <c r="D9" s="8">
        <v>2750</v>
      </c>
      <c r="E9" s="9">
        <v>96.7</v>
      </c>
      <c r="F9" s="9">
        <f t="shared" si="0"/>
        <v>265925</v>
      </c>
      <c r="G9" s="7" t="s">
        <v>391</v>
      </c>
      <c r="H9" s="7" t="s">
        <v>40</v>
      </c>
      <c r="I9" s="10">
        <v>27</v>
      </c>
      <c r="J9" s="8">
        <v>1774</v>
      </c>
      <c r="K9" s="9">
        <v>34.79</v>
      </c>
      <c r="L9" s="9">
        <f t="shared" si="1"/>
        <v>61717.46</v>
      </c>
      <c r="M9" s="7" t="s">
        <v>65</v>
      </c>
      <c r="N9" s="7" t="s">
        <v>50</v>
      </c>
      <c r="O9" s="7" t="s">
        <v>43</v>
      </c>
      <c r="P9" s="7" t="s">
        <v>405</v>
      </c>
      <c r="Q9" s="2" t="s">
        <v>376</v>
      </c>
      <c r="R9" s="11" t="s">
        <v>66</v>
      </c>
      <c r="S9" s="7" t="s">
        <v>52</v>
      </c>
    </row>
    <row r="10" spans="1:19" x14ac:dyDescent="0.25">
      <c r="A10" s="2" t="s">
        <v>67</v>
      </c>
      <c r="B10" s="2" t="s">
        <v>68</v>
      </c>
      <c r="C10" s="2" t="s">
        <v>69</v>
      </c>
      <c r="D10" s="3">
        <v>2100</v>
      </c>
      <c r="E10" s="4">
        <v>428.05</v>
      </c>
      <c r="F10" s="4">
        <f t="shared" ref="F10:F41" si="2">D10*E10</f>
        <v>898905</v>
      </c>
      <c r="G10" s="2" t="s">
        <v>390</v>
      </c>
      <c r="H10" s="2" t="s">
        <v>70</v>
      </c>
      <c r="I10" s="5">
        <v>39</v>
      </c>
      <c r="J10" s="3">
        <v>2856</v>
      </c>
      <c r="K10" s="4">
        <v>2447.6999999999998</v>
      </c>
      <c r="L10" s="4">
        <f t="shared" ref="L10:L41" si="3">J10*K10</f>
        <v>6990631.1999999993</v>
      </c>
      <c r="M10" s="2" t="s">
        <v>71</v>
      </c>
      <c r="N10" s="2" t="s">
        <v>28</v>
      </c>
      <c r="O10" s="2" t="s">
        <v>20</v>
      </c>
      <c r="P10" s="2" t="s">
        <v>400</v>
      </c>
      <c r="Q10" s="2" t="s">
        <v>375</v>
      </c>
      <c r="R10" s="6" t="s">
        <v>72</v>
      </c>
      <c r="S10" s="2" t="s">
        <v>73</v>
      </c>
    </row>
    <row r="11" spans="1:19" x14ac:dyDescent="0.25">
      <c r="A11" s="7" t="s">
        <v>59</v>
      </c>
      <c r="B11" s="7" t="s">
        <v>60</v>
      </c>
      <c r="C11" s="7" t="s">
        <v>61</v>
      </c>
      <c r="D11" s="8">
        <v>3000</v>
      </c>
      <c r="E11" s="9">
        <v>285.2</v>
      </c>
      <c r="F11" s="9">
        <f t="shared" si="2"/>
        <v>855600</v>
      </c>
      <c r="G11" s="2" t="s">
        <v>384</v>
      </c>
      <c r="H11" s="7" t="s">
        <v>62</v>
      </c>
      <c r="I11" s="10">
        <v>32</v>
      </c>
      <c r="J11" s="8">
        <v>3383</v>
      </c>
      <c r="K11" s="9">
        <v>65.72</v>
      </c>
      <c r="L11" s="9">
        <f t="shared" si="3"/>
        <v>222330.76</v>
      </c>
      <c r="M11" s="7" t="s">
        <v>74</v>
      </c>
      <c r="N11" s="7" t="s">
        <v>75</v>
      </c>
      <c r="O11" s="7" t="s">
        <v>35</v>
      </c>
      <c r="P11" s="2" t="s">
        <v>403</v>
      </c>
      <c r="Q11" s="2" t="s">
        <v>376</v>
      </c>
      <c r="R11" s="11" t="s">
        <v>76</v>
      </c>
      <c r="S11" s="7" t="s">
        <v>44</v>
      </c>
    </row>
    <row r="12" spans="1:19" x14ac:dyDescent="0.25">
      <c r="A12" s="2" t="s">
        <v>23</v>
      </c>
      <c r="B12" s="2" t="s">
        <v>24</v>
      </c>
      <c r="C12" s="2" t="s">
        <v>25</v>
      </c>
      <c r="D12" s="3">
        <v>1900</v>
      </c>
      <c r="E12" s="4">
        <v>314.95999999999998</v>
      </c>
      <c r="F12" s="4">
        <f t="shared" si="2"/>
        <v>598424</v>
      </c>
      <c r="G12" s="7" t="s">
        <v>383</v>
      </c>
      <c r="H12" s="2" t="s">
        <v>26</v>
      </c>
      <c r="I12" s="5">
        <v>38</v>
      </c>
      <c r="J12" s="3">
        <v>3084</v>
      </c>
      <c r="K12" s="4">
        <v>550.58000000000004</v>
      </c>
      <c r="L12" s="4">
        <f t="shared" si="3"/>
        <v>1697988.7200000002</v>
      </c>
      <c r="M12" s="2" t="s">
        <v>77</v>
      </c>
      <c r="N12" s="2" t="s">
        <v>75</v>
      </c>
      <c r="O12" s="2" t="s">
        <v>20</v>
      </c>
      <c r="P12" s="2" t="s">
        <v>400</v>
      </c>
      <c r="Q12" s="2" t="s">
        <v>375</v>
      </c>
      <c r="R12" s="6" t="s">
        <v>78</v>
      </c>
      <c r="S12" s="2" t="s">
        <v>397</v>
      </c>
    </row>
    <row r="13" spans="1:19" x14ac:dyDescent="0.25">
      <c r="A13" s="7" t="s">
        <v>59</v>
      </c>
      <c r="B13" s="7" t="s">
        <v>60</v>
      </c>
      <c r="C13" s="7" t="s">
        <v>61</v>
      </c>
      <c r="D13" s="8">
        <v>4550</v>
      </c>
      <c r="E13" s="9">
        <v>284.73</v>
      </c>
      <c r="F13" s="9">
        <f t="shared" si="2"/>
        <v>1295521.5</v>
      </c>
      <c r="G13" s="2" t="s">
        <v>384</v>
      </c>
      <c r="H13" s="7" t="s">
        <v>62</v>
      </c>
      <c r="I13" s="10">
        <v>26</v>
      </c>
      <c r="J13" s="8">
        <v>3826</v>
      </c>
      <c r="K13" s="9">
        <v>67.47</v>
      </c>
      <c r="L13" s="9">
        <f t="shared" si="3"/>
        <v>258140.22</v>
      </c>
      <c r="M13" s="7" t="s">
        <v>79</v>
      </c>
      <c r="N13" s="7" t="s">
        <v>42</v>
      </c>
      <c r="O13" s="7" t="s">
        <v>35</v>
      </c>
      <c r="P13" s="2" t="s">
        <v>403</v>
      </c>
      <c r="Q13" s="2" t="s">
        <v>376</v>
      </c>
      <c r="R13" s="11" t="s">
        <v>80</v>
      </c>
      <c r="S13" s="7" t="s">
        <v>81</v>
      </c>
    </row>
    <row r="14" spans="1:19" x14ac:dyDescent="0.25">
      <c r="A14" s="2" t="s">
        <v>30</v>
      </c>
      <c r="B14" s="2" t="s">
        <v>31</v>
      </c>
      <c r="C14" s="2" t="s">
        <v>32</v>
      </c>
      <c r="D14" s="3">
        <v>3800</v>
      </c>
      <c r="E14" s="4">
        <v>106.75</v>
      </c>
      <c r="F14" s="4">
        <f t="shared" si="2"/>
        <v>405650</v>
      </c>
      <c r="G14" s="2" t="s">
        <v>388</v>
      </c>
      <c r="H14" s="2" t="s">
        <v>33</v>
      </c>
      <c r="I14" s="5">
        <v>23</v>
      </c>
      <c r="J14" s="3">
        <v>3910</v>
      </c>
      <c r="K14" s="4">
        <v>22.84</v>
      </c>
      <c r="L14" s="4">
        <f t="shared" si="3"/>
        <v>89304.4</v>
      </c>
      <c r="M14" s="2" t="s">
        <v>82</v>
      </c>
      <c r="N14" s="2" t="s">
        <v>50</v>
      </c>
      <c r="O14" s="2" t="s">
        <v>35</v>
      </c>
      <c r="P14" s="2" t="s">
        <v>403</v>
      </c>
      <c r="Q14" s="2" t="s">
        <v>376</v>
      </c>
      <c r="R14" s="6" t="s">
        <v>83</v>
      </c>
      <c r="S14" s="2" t="s">
        <v>397</v>
      </c>
    </row>
    <row r="15" spans="1:19" x14ac:dyDescent="0.25">
      <c r="A15" s="7" t="s">
        <v>30</v>
      </c>
      <c r="B15" s="7" t="s">
        <v>31</v>
      </c>
      <c r="C15" s="7" t="s">
        <v>32</v>
      </c>
      <c r="D15" s="8">
        <v>2750</v>
      </c>
      <c r="E15" s="9">
        <v>107.84</v>
      </c>
      <c r="F15" s="9">
        <f t="shared" si="2"/>
        <v>296560</v>
      </c>
      <c r="G15" s="2" t="s">
        <v>388</v>
      </c>
      <c r="H15" s="7" t="s">
        <v>33</v>
      </c>
      <c r="I15" s="10">
        <v>13</v>
      </c>
      <c r="J15" s="8">
        <v>1092</v>
      </c>
      <c r="K15" s="9">
        <v>22.34</v>
      </c>
      <c r="L15" s="9">
        <f t="shared" si="3"/>
        <v>24395.279999999999</v>
      </c>
      <c r="M15" s="7" t="s">
        <v>84</v>
      </c>
      <c r="N15" s="7" t="s">
        <v>50</v>
      </c>
      <c r="O15" s="7" t="s">
        <v>85</v>
      </c>
      <c r="P15" s="2" t="s">
        <v>402</v>
      </c>
      <c r="Q15" s="2" t="s">
        <v>376</v>
      </c>
      <c r="R15" s="11" t="s">
        <v>86</v>
      </c>
      <c r="S15" s="7" t="s">
        <v>73</v>
      </c>
    </row>
    <row r="16" spans="1:19" x14ac:dyDescent="0.25">
      <c r="A16" s="2" t="s">
        <v>23</v>
      </c>
      <c r="B16" s="2" t="s">
        <v>24</v>
      </c>
      <c r="C16" s="2" t="s">
        <v>25</v>
      </c>
      <c r="D16" s="3">
        <v>1900</v>
      </c>
      <c r="E16" s="4">
        <v>319.02999999999997</v>
      </c>
      <c r="F16" s="4">
        <f t="shared" si="2"/>
        <v>606157</v>
      </c>
      <c r="G16" s="7" t="s">
        <v>383</v>
      </c>
      <c r="H16" s="2" t="s">
        <v>26</v>
      </c>
      <c r="I16" s="5">
        <v>26</v>
      </c>
      <c r="J16" s="3">
        <v>4455</v>
      </c>
      <c r="K16" s="4">
        <v>532.23</v>
      </c>
      <c r="L16" s="4">
        <f t="shared" si="3"/>
        <v>2371084.65</v>
      </c>
      <c r="M16" s="2" t="s">
        <v>87</v>
      </c>
      <c r="N16" s="2" t="s">
        <v>19</v>
      </c>
      <c r="O16" s="2" t="s">
        <v>20</v>
      </c>
      <c r="P16" s="2" t="s">
        <v>400</v>
      </c>
      <c r="Q16" s="2" t="s">
        <v>375</v>
      </c>
      <c r="R16" s="6" t="s">
        <v>88</v>
      </c>
      <c r="S16" s="2" t="s">
        <v>44</v>
      </c>
    </row>
    <row r="17" spans="1:19" x14ac:dyDescent="0.25">
      <c r="A17" s="7" t="s">
        <v>89</v>
      </c>
      <c r="B17" s="7" t="s">
        <v>90</v>
      </c>
      <c r="C17" s="7" t="s">
        <v>91</v>
      </c>
      <c r="D17" s="8">
        <v>4750</v>
      </c>
      <c r="E17" s="9">
        <v>113.1</v>
      </c>
      <c r="F17" s="9">
        <f t="shared" si="2"/>
        <v>537225</v>
      </c>
      <c r="G17" s="7" t="s">
        <v>387</v>
      </c>
      <c r="H17" s="7" t="s">
        <v>92</v>
      </c>
      <c r="I17" s="10">
        <v>18</v>
      </c>
      <c r="J17" s="8">
        <v>4331</v>
      </c>
      <c r="K17" s="9">
        <v>46.59</v>
      </c>
      <c r="L17" s="9">
        <f t="shared" si="3"/>
        <v>201781.29</v>
      </c>
      <c r="M17" s="7" t="s">
        <v>93</v>
      </c>
      <c r="N17" s="7" t="s">
        <v>75</v>
      </c>
      <c r="O17" s="7" t="s">
        <v>20</v>
      </c>
      <c r="P17" s="2" t="s">
        <v>400</v>
      </c>
      <c r="Q17" s="2" t="s">
        <v>375</v>
      </c>
      <c r="R17" s="11" t="s">
        <v>94</v>
      </c>
      <c r="S17" s="7" t="s">
        <v>73</v>
      </c>
    </row>
    <row r="18" spans="1:19" x14ac:dyDescent="0.25">
      <c r="A18" s="2" t="s">
        <v>59</v>
      </c>
      <c r="B18" s="2" t="s">
        <v>60</v>
      </c>
      <c r="C18" s="2" t="s">
        <v>61</v>
      </c>
      <c r="D18" s="3">
        <v>1050</v>
      </c>
      <c r="E18" s="4">
        <v>285.16000000000003</v>
      </c>
      <c r="F18" s="4">
        <f t="shared" si="2"/>
        <v>299418</v>
      </c>
      <c r="G18" s="2" t="s">
        <v>384</v>
      </c>
      <c r="H18" s="2" t="s">
        <v>62</v>
      </c>
      <c r="I18" s="5">
        <v>40</v>
      </c>
      <c r="J18" s="3">
        <v>435</v>
      </c>
      <c r="K18" s="4">
        <v>64.73</v>
      </c>
      <c r="L18" s="4">
        <f t="shared" si="3"/>
        <v>28157.550000000003</v>
      </c>
      <c r="M18" s="2" t="s">
        <v>95</v>
      </c>
      <c r="N18" s="2" t="s">
        <v>19</v>
      </c>
      <c r="O18" s="2" t="s">
        <v>377</v>
      </c>
      <c r="P18" s="2" t="s">
        <v>401</v>
      </c>
      <c r="Q18" s="2" t="s">
        <v>378</v>
      </c>
      <c r="R18" s="6" t="s">
        <v>96</v>
      </c>
      <c r="S18" s="2" t="s">
        <v>52</v>
      </c>
    </row>
    <row r="19" spans="1:19" x14ac:dyDescent="0.25">
      <c r="A19" s="7" t="s">
        <v>67</v>
      </c>
      <c r="B19" s="7" t="s">
        <v>68</v>
      </c>
      <c r="C19" s="7" t="s">
        <v>69</v>
      </c>
      <c r="D19" s="8">
        <v>3550</v>
      </c>
      <c r="E19" s="9">
        <v>461.42</v>
      </c>
      <c r="F19" s="9">
        <f t="shared" si="2"/>
        <v>1638041</v>
      </c>
      <c r="G19" s="2" t="s">
        <v>390</v>
      </c>
      <c r="H19" s="7" t="s">
        <v>70</v>
      </c>
      <c r="I19" s="10">
        <v>28</v>
      </c>
      <c r="J19" s="8">
        <v>888</v>
      </c>
      <c r="K19" s="9">
        <v>2459.4499999999998</v>
      </c>
      <c r="L19" s="9">
        <f t="shared" si="3"/>
        <v>2183991.5999999996</v>
      </c>
      <c r="M19" s="7" t="s">
        <v>97</v>
      </c>
      <c r="N19" s="7" t="s">
        <v>42</v>
      </c>
      <c r="O19" s="7" t="s">
        <v>85</v>
      </c>
      <c r="P19" s="2" t="s">
        <v>402</v>
      </c>
      <c r="Q19" s="2" t="s">
        <v>376</v>
      </c>
      <c r="R19" s="11" t="s">
        <v>88</v>
      </c>
      <c r="S19" s="7" t="s">
        <v>73</v>
      </c>
    </row>
    <row r="20" spans="1:19" x14ac:dyDescent="0.25">
      <c r="A20" s="2" t="s">
        <v>45</v>
      </c>
      <c r="B20" s="2" t="s">
        <v>46</v>
      </c>
      <c r="C20" s="2" t="s">
        <v>47</v>
      </c>
      <c r="D20" s="3">
        <v>1950</v>
      </c>
      <c r="E20" s="4">
        <v>133.86000000000001</v>
      </c>
      <c r="F20" s="4">
        <f t="shared" si="2"/>
        <v>261027.00000000003</v>
      </c>
      <c r="G20" s="2" t="s">
        <v>385</v>
      </c>
      <c r="H20" s="2" t="s">
        <v>48</v>
      </c>
      <c r="I20" s="5">
        <v>12</v>
      </c>
      <c r="J20" s="3">
        <v>2078</v>
      </c>
      <c r="K20" s="4">
        <v>179.56</v>
      </c>
      <c r="L20" s="4">
        <f t="shared" si="3"/>
        <v>373125.68</v>
      </c>
      <c r="M20" s="2" t="s">
        <v>98</v>
      </c>
      <c r="N20" s="2" t="s">
        <v>28</v>
      </c>
      <c r="O20" s="2" t="s">
        <v>20</v>
      </c>
      <c r="P20" s="2" t="s">
        <v>400</v>
      </c>
      <c r="Q20" s="2" t="s">
        <v>375</v>
      </c>
      <c r="R20" s="6" t="s">
        <v>99</v>
      </c>
      <c r="S20" s="2" t="s">
        <v>44</v>
      </c>
    </row>
    <row r="21" spans="1:19" x14ac:dyDescent="0.25">
      <c r="A21" s="7" t="s">
        <v>30</v>
      </c>
      <c r="B21" s="7" t="s">
        <v>31</v>
      </c>
      <c r="C21" s="7" t="s">
        <v>32</v>
      </c>
      <c r="D21" s="8">
        <v>3800</v>
      </c>
      <c r="E21" s="9">
        <v>104.86</v>
      </c>
      <c r="F21" s="9">
        <f t="shared" si="2"/>
        <v>398468</v>
      </c>
      <c r="G21" s="2" t="s">
        <v>388</v>
      </c>
      <c r="H21" s="7" t="s">
        <v>33</v>
      </c>
      <c r="I21" s="10">
        <v>11</v>
      </c>
      <c r="J21" s="8">
        <v>415</v>
      </c>
      <c r="K21" s="9">
        <v>21.51</v>
      </c>
      <c r="L21" s="9">
        <f t="shared" si="3"/>
        <v>8926.6500000000015</v>
      </c>
      <c r="M21" s="7" t="s">
        <v>100</v>
      </c>
      <c r="N21" s="7" t="s">
        <v>101</v>
      </c>
      <c r="O21" s="7" t="s">
        <v>35</v>
      </c>
      <c r="P21" s="2" t="s">
        <v>403</v>
      </c>
      <c r="Q21" s="2" t="s">
        <v>376</v>
      </c>
      <c r="R21" s="11" t="s">
        <v>102</v>
      </c>
      <c r="S21" s="2" t="s">
        <v>397</v>
      </c>
    </row>
    <row r="22" spans="1:19" x14ac:dyDescent="0.25">
      <c r="A22" s="2" t="s">
        <v>89</v>
      </c>
      <c r="B22" s="2" t="s">
        <v>90</v>
      </c>
      <c r="C22" s="2" t="s">
        <v>91</v>
      </c>
      <c r="D22" s="3">
        <v>2600</v>
      </c>
      <c r="E22" s="4">
        <v>111.02</v>
      </c>
      <c r="F22" s="4">
        <f t="shared" si="2"/>
        <v>288652</v>
      </c>
      <c r="G22" s="7" t="s">
        <v>387</v>
      </c>
      <c r="H22" s="2" t="s">
        <v>92</v>
      </c>
      <c r="I22" s="5">
        <v>39</v>
      </c>
      <c r="J22" s="3">
        <v>554</v>
      </c>
      <c r="K22" s="4">
        <v>44.83</v>
      </c>
      <c r="L22" s="4">
        <f t="shared" si="3"/>
        <v>24835.82</v>
      </c>
      <c r="M22" s="2" t="s">
        <v>103</v>
      </c>
      <c r="N22" s="2" t="s">
        <v>104</v>
      </c>
      <c r="O22" s="2" t="s">
        <v>20</v>
      </c>
      <c r="P22" s="2" t="s">
        <v>400</v>
      </c>
      <c r="Q22" s="2" t="s">
        <v>375</v>
      </c>
      <c r="R22" s="6" t="s">
        <v>105</v>
      </c>
      <c r="S22" s="2" t="s">
        <v>52</v>
      </c>
    </row>
    <row r="23" spans="1:19" x14ac:dyDescent="0.25">
      <c r="A23" s="7" t="s">
        <v>106</v>
      </c>
      <c r="B23" s="7" t="s">
        <v>107</v>
      </c>
      <c r="C23" s="7" t="s">
        <v>108</v>
      </c>
      <c r="D23" s="8">
        <v>4050</v>
      </c>
      <c r="E23" s="9">
        <v>217.44</v>
      </c>
      <c r="F23" s="9">
        <f t="shared" si="2"/>
        <v>880632</v>
      </c>
      <c r="G23" s="7" t="s">
        <v>386</v>
      </c>
      <c r="H23" s="7" t="s">
        <v>109</v>
      </c>
      <c r="I23" s="10">
        <v>34</v>
      </c>
      <c r="J23" s="8">
        <v>121</v>
      </c>
      <c r="K23" s="9">
        <v>8.42</v>
      </c>
      <c r="L23" s="9">
        <f t="shared" si="3"/>
        <v>1018.8199999999999</v>
      </c>
      <c r="M23" s="7" t="s">
        <v>110</v>
      </c>
      <c r="N23" s="7" t="s">
        <v>28</v>
      </c>
      <c r="O23" s="7" t="s">
        <v>35</v>
      </c>
      <c r="P23" s="2" t="s">
        <v>403</v>
      </c>
      <c r="Q23" s="2" t="s">
        <v>376</v>
      </c>
      <c r="R23" s="11" t="s">
        <v>111</v>
      </c>
      <c r="S23" s="7" t="s">
        <v>44</v>
      </c>
    </row>
    <row r="24" spans="1:19" x14ac:dyDescent="0.25">
      <c r="A24" s="2" t="s">
        <v>45</v>
      </c>
      <c r="B24" s="2" t="s">
        <v>46</v>
      </c>
      <c r="C24" s="2" t="s">
        <v>47</v>
      </c>
      <c r="D24" s="3">
        <v>3800</v>
      </c>
      <c r="E24" s="4">
        <v>127.01</v>
      </c>
      <c r="F24" s="4">
        <f t="shared" si="2"/>
        <v>482638</v>
      </c>
      <c r="G24" s="2" t="s">
        <v>385</v>
      </c>
      <c r="H24" s="2" t="s">
        <v>48</v>
      </c>
      <c r="I24" s="5">
        <v>28</v>
      </c>
      <c r="J24" s="3">
        <v>1445</v>
      </c>
      <c r="K24" s="4">
        <v>180.24</v>
      </c>
      <c r="L24" s="4">
        <f t="shared" si="3"/>
        <v>260446.80000000002</v>
      </c>
      <c r="M24" s="2" t="s">
        <v>112</v>
      </c>
      <c r="N24" s="2" t="s">
        <v>101</v>
      </c>
      <c r="O24" s="2" t="s">
        <v>20</v>
      </c>
      <c r="P24" s="2" t="s">
        <v>400</v>
      </c>
      <c r="Q24" s="2" t="s">
        <v>375</v>
      </c>
      <c r="R24" s="6" t="s">
        <v>113</v>
      </c>
      <c r="S24" s="2" t="s">
        <v>73</v>
      </c>
    </row>
    <row r="25" spans="1:19" x14ac:dyDescent="0.25">
      <c r="A25" s="7" t="s">
        <v>53</v>
      </c>
      <c r="B25" s="7" t="s">
        <v>54</v>
      </c>
      <c r="C25" s="7" t="s">
        <v>55</v>
      </c>
      <c r="D25" s="8">
        <v>1300</v>
      </c>
      <c r="E25" s="9">
        <v>85.26</v>
      </c>
      <c r="F25" s="9">
        <f t="shared" si="2"/>
        <v>110838</v>
      </c>
      <c r="G25" s="7" t="s">
        <v>389</v>
      </c>
      <c r="H25" s="7" t="s">
        <v>56</v>
      </c>
      <c r="I25" s="10">
        <v>41</v>
      </c>
      <c r="J25" s="8">
        <v>2466</v>
      </c>
      <c r="K25" s="9">
        <v>145.63999999999999</v>
      </c>
      <c r="L25" s="9">
        <f t="shared" si="3"/>
        <v>359148.24</v>
      </c>
      <c r="M25" s="7" t="s">
        <v>114</v>
      </c>
      <c r="N25" s="7" t="s">
        <v>42</v>
      </c>
      <c r="O25" s="7" t="s">
        <v>20</v>
      </c>
      <c r="P25" s="2" t="s">
        <v>400</v>
      </c>
      <c r="Q25" s="2" t="s">
        <v>375</v>
      </c>
      <c r="R25" s="11" t="s">
        <v>115</v>
      </c>
      <c r="S25" s="2" t="s">
        <v>397</v>
      </c>
    </row>
    <row r="26" spans="1:19" x14ac:dyDescent="0.25">
      <c r="A26" s="2" t="s">
        <v>23</v>
      </c>
      <c r="B26" s="2" t="s">
        <v>24</v>
      </c>
      <c r="C26" s="2" t="s">
        <v>25</v>
      </c>
      <c r="D26" s="3">
        <v>3450</v>
      </c>
      <c r="E26" s="4">
        <v>307.24</v>
      </c>
      <c r="F26" s="4">
        <f t="shared" si="2"/>
        <v>1059978</v>
      </c>
      <c r="G26" s="7" t="s">
        <v>383</v>
      </c>
      <c r="H26" s="2" t="s">
        <v>26</v>
      </c>
      <c r="I26" s="5">
        <v>13</v>
      </c>
      <c r="J26" s="3">
        <v>2932</v>
      </c>
      <c r="K26" s="4">
        <v>564.53</v>
      </c>
      <c r="L26" s="4">
        <f t="shared" si="3"/>
        <v>1655201.96</v>
      </c>
      <c r="M26" s="2" t="s">
        <v>116</v>
      </c>
      <c r="N26" s="2" t="s">
        <v>50</v>
      </c>
      <c r="O26" s="2" t="s">
        <v>35</v>
      </c>
      <c r="P26" s="2" t="s">
        <v>403</v>
      </c>
      <c r="Q26" s="2" t="s">
        <v>376</v>
      </c>
      <c r="R26" s="6" t="s">
        <v>117</v>
      </c>
      <c r="S26" s="2" t="s">
        <v>44</v>
      </c>
    </row>
    <row r="27" spans="1:19" x14ac:dyDescent="0.25">
      <c r="A27" s="7" t="s">
        <v>59</v>
      </c>
      <c r="B27" s="7" t="s">
        <v>60</v>
      </c>
      <c r="C27" s="7" t="s">
        <v>61</v>
      </c>
      <c r="D27" s="8">
        <v>4250</v>
      </c>
      <c r="E27" s="9">
        <v>297.72000000000003</v>
      </c>
      <c r="F27" s="9">
        <f t="shared" si="2"/>
        <v>1265310</v>
      </c>
      <c r="G27" s="2" t="s">
        <v>384</v>
      </c>
      <c r="H27" s="7" t="s">
        <v>62</v>
      </c>
      <c r="I27" s="10">
        <v>36</v>
      </c>
      <c r="J27" s="8">
        <v>546</v>
      </c>
      <c r="K27" s="9">
        <v>64.349999999999994</v>
      </c>
      <c r="L27" s="9">
        <f t="shared" si="3"/>
        <v>35135.1</v>
      </c>
      <c r="M27" s="7" t="s">
        <v>118</v>
      </c>
      <c r="N27" s="7" t="s">
        <v>104</v>
      </c>
      <c r="O27" s="7" t="s">
        <v>35</v>
      </c>
      <c r="P27" s="2" t="s">
        <v>403</v>
      </c>
      <c r="Q27" s="2" t="s">
        <v>376</v>
      </c>
      <c r="R27" s="11" t="s">
        <v>119</v>
      </c>
      <c r="S27" s="7" t="s">
        <v>81</v>
      </c>
    </row>
    <row r="28" spans="1:19" x14ac:dyDescent="0.25">
      <c r="A28" s="2" t="s">
        <v>89</v>
      </c>
      <c r="B28" s="2" t="s">
        <v>90</v>
      </c>
      <c r="C28" s="2" t="s">
        <v>91</v>
      </c>
      <c r="D28" s="3">
        <v>4350</v>
      </c>
      <c r="E28" s="4">
        <v>105.89</v>
      </c>
      <c r="F28" s="4">
        <f t="shared" si="2"/>
        <v>460621.5</v>
      </c>
      <c r="G28" s="7" t="s">
        <v>387</v>
      </c>
      <c r="H28" s="2" t="s">
        <v>92</v>
      </c>
      <c r="I28" s="5">
        <v>25</v>
      </c>
      <c r="J28" s="3">
        <v>815</v>
      </c>
      <c r="K28" s="4">
        <v>43.89</v>
      </c>
      <c r="L28" s="4">
        <f t="shared" si="3"/>
        <v>35770.35</v>
      </c>
      <c r="M28" s="2" t="s">
        <v>120</v>
      </c>
      <c r="N28" s="2" t="s">
        <v>75</v>
      </c>
      <c r="O28" s="2" t="s">
        <v>20</v>
      </c>
      <c r="P28" s="2" t="s">
        <v>400</v>
      </c>
      <c r="Q28" s="2" t="s">
        <v>375</v>
      </c>
      <c r="R28" s="6" t="s">
        <v>121</v>
      </c>
      <c r="S28" s="2" t="s">
        <v>397</v>
      </c>
    </row>
    <row r="29" spans="1:19" x14ac:dyDescent="0.25">
      <c r="A29" s="7" t="s">
        <v>23</v>
      </c>
      <c r="B29" s="7" t="s">
        <v>24</v>
      </c>
      <c r="C29" s="7" t="s">
        <v>25</v>
      </c>
      <c r="D29" s="8">
        <v>4850</v>
      </c>
      <c r="E29" s="9">
        <v>308.72000000000003</v>
      </c>
      <c r="F29" s="9">
        <f t="shared" si="2"/>
        <v>1497292.0000000002</v>
      </c>
      <c r="G29" s="7" t="s">
        <v>383</v>
      </c>
      <c r="H29" s="7" t="s">
        <v>26</v>
      </c>
      <c r="I29" s="10">
        <v>21</v>
      </c>
      <c r="J29" s="8">
        <v>3578</v>
      </c>
      <c r="K29" s="9">
        <v>549.16</v>
      </c>
      <c r="L29" s="9">
        <f t="shared" si="3"/>
        <v>1964894.48</v>
      </c>
      <c r="M29" s="7" t="s">
        <v>122</v>
      </c>
      <c r="N29" s="7" t="s">
        <v>42</v>
      </c>
      <c r="O29" s="7" t="s">
        <v>43</v>
      </c>
      <c r="P29" s="7" t="s">
        <v>405</v>
      </c>
      <c r="Q29" s="2" t="s">
        <v>376</v>
      </c>
      <c r="R29" s="11" t="s">
        <v>123</v>
      </c>
      <c r="S29" s="7" t="s">
        <v>52</v>
      </c>
    </row>
    <row r="30" spans="1:19" x14ac:dyDescent="0.25">
      <c r="A30" s="2" t="s">
        <v>14</v>
      </c>
      <c r="B30" s="2" t="s">
        <v>15</v>
      </c>
      <c r="C30" s="2" t="s">
        <v>16</v>
      </c>
      <c r="D30" s="3">
        <v>2600</v>
      </c>
      <c r="E30" s="4">
        <v>135.51</v>
      </c>
      <c r="F30" s="4">
        <f t="shared" si="2"/>
        <v>352326</v>
      </c>
      <c r="G30" s="2" t="s">
        <v>382</v>
      </c>
      <c r="H30" s="2" t="s">
        <v>17</v>
      </c>
      <c r="I30" s="5">
        <v>30</v>
      </c>
      <c r="J30" s="3">
        <v>1405</v>
      </c>
      <c r="K30" s="4">
        <v>57.17</v>
      </c>
      <c r="L30" s="4">
        <f t="shared" si="3"/>
        <v>80323.850000000006</v>
      </c>
      <c r="M30" s="2" t="s">
        <v>124</v>
      </c>
      <c r="N30" s="2" t="s">
        <v>42</v>
      </c>
      <c r="O30" s="2" t="s">
        <v>20</v>
      </c>
      <c r="P30" s="2" t="s">
        <v>400</v>
      </c>
      <c r="Q30" s="2" t="s">
        <v>375</v>
      </c>
      <c r="R30" s="6" t="s">
        <v>125</v>
      </c>
      <c r="S30" s="2" t="s">
        <v>44</v>
      </c>
    </row>
    <row r="31" spans="1:19" x14ac:dyDescent="0.25">
      <c r="A31" s="7" t="s">
        <v>14</v>
      </c>
      <c r="B31" s="7" t="s">
        <v>15</v>
      </c>
      <c r="C31" s="7" t="s">
        <v>16</v>
      </c>
      <c r="D31" s="8">
        <v>3100</v>
      </c>
      <c r="E31" s="9">
        <v>137.91</v>
      </c>
      <c r="F31" s="9">
        <f t="shared" si="2"/>
        <v>427521</v>
      </c>
      <c r="G31" s="2" t="s">
        <v>382</v>
      </c>
      <c r="H31" s="7" t="s">
        <v>17</v>
      </c>
      <c r="I31" s="10">
        <v>24</v>
      </c>
      <c r="J31" s="8">
        <v>2441</v>
      </c>
      <c r="K31" s="9">
        <v>55.07</v>
      </c>
      <c r="L31" s="9">
        <f t="shared" si="3"/>
        <v>134425.87</v>
      </c>
      <c r="M31" s="7" t="s">
        <v>126</v>
      </c>
      <c r="N31" s="7" t="s">
        <v>50</v>
      </c>
      <c r="O31" s="7" t="s">
        <v>20</v>
      </c>
      <c r="P31" s="2" t="s">
        <v>400</v>
      </c>
      <c r="Q31" s="2" t="s">
        <v>375</v>
      </c>
      <c r="R31" s="11" t="s">
        <v>105</v>
      </c>
      <c r="S31" s="7" t="s">
        <v>44</v>
      </c>
    </row>
    <row r="32" spans="1:19" x14ac:dyDescent="0.25">
      <c r="A32" s="2" t="s">
        <v>53</v>
      </c>
      <c r="B32" s="2" t="s">
        <v>54</v>
      </c>
      <c r="C32" s="2" t="s">
        <v>55</v>
      </c>
      <c r="D32" s="3">
        <v>3400</v>
      </c>
      <c r="E32" s="4">
        <v>81.67</v>
      </c>
      <c r="F32" s="4">
        <f t="shared" si="2"/>
        <v>277678</v>
      </c>
      <c r="G32" s="7" t="s">
        <v>389</v>
      </c>
      <c r="H32" s="2" t="s">
        <v>56</v>
      </c>
      <c r="I32" s="5">
        <v>21</v>
      </c>
      <c r="J32" s="3">
        <v>4832</v>
      </c>
      <c r="K32" s="4">
        <v>146.52000000000001</v>
      </c>
      <c r="L32" s="4">
        <f t="shared" si="3"/>
        <v>707984.64</v>
      </c>
      <c r="M32" s="2" t="s">
        <v>127</v>
      </c>
      <c r="N32" s="2" t="s">
        <v>104</v>
      </c>
      <c r="O32" s="2" t="s">
        <v>85</v>
      </c>
      <c r="P32" s="2" t="s">
        <v>402</v>
      </c>
      <c r="Q32" s="2" t="s">
        <v>376</v>
      </c>
      <c r="R32" s="6" t="s">
        <v>128</v>
      </c>
      <c r="S32" s="2" t="s">
        <v>397</v>
      </c>
    </row>
    <row r="33" spans="1:19" x14ac:dyDescent="0.25">
      <c r="A33" s="7" t="s">
        <v>53</v>
      </c>
      <c r="B33" s="7" t="s">
        <v>54</v>
      </c>
      <c r="C33" s="7" t="s">
        <v>55</v>
      </c>
      <c r="D33" s="8">
        <v>2900</v>
      </c>
      <c r="E33" s="9">
        <v>82.24</v>
      </c>
      <c r="F33" s="9">
        <f t="shared" si="2"/>
        <v>238495.99999999997</v>
      </c>
      <c r="G33" s="7" t="s">
        <v>389</v>
      </c>
      <c r="H33" s="7" t="s">
        <v>56</v>
      </c>
      <c r="I33" s="10">
        <v>35</v>
      </c>
      <c r="J33" s="8">
        <v>3001</v>
      </c>
      <c r="K33" s="9">
        <v>151.38</v>
      </c>
      <c r="L33" s="9">
        <f t="shared" si="3"/>
        <v>454291.38</v>
      </c>
      <c r="M33" s="7" t="s">
        <v>129</v>
      </c>
      <c r="N33" s="7" t="s">
        <v>42</v>
      </c>
      <c r="O33" s="2" t="s">
        <v>377</v>
      </c>
      <c r="P33" s="2" t="s">
        <v>401</v>
      </c>
      <c r="Q33" s="2" t="s">
        <v>378</v>
      </c>
      <c r="R33" s="11" t="s">
        <v>130</v>
      </c>
      <c r="S33" s="7" t="s">
        <v>81</v>
      </c>
    </row>
    <row r="34" spans="1:19" x14ac:dyDescent="0.25">
      <c r="A34" s="2" t="s">
        <v>53</v>
      </c>
      <c r="B34" s="2" t="s">
        <v>54</v>
      </c>
      <c r="C34" s="2" t="s">
        <v>55</v>
      </c>
      <c r="D34" s="3">
        <v>2100</v>
      </c>
      <c r="E34" s="4">
        <v>88.49</v>
      </c>
      <c r="F34" s="4">
        <f t="shared" si="2"/>
        <v>185829</v>
      </c>
      <c r="G34" s="7" t="s">
        <v>389</v>
      </c>
      <c r="H34" s="2" t="s">
        <v>56</v>
      </c>
      <c r="I34" s="5">
        <v>42</v>
      </c>
      <c r="J34" s="3">
        <v>4428</v>
      </c>
      <c r="K34" s="4">
        <v>149.81</v>
      </c>
      <c r="L34" s="4">
        <f t="shared" si="3"/>
        <v>663358.68000000005</v>
      </c>
      <c r="M34" s="2" t="s">
        <v>131</v>
      </c>
      <c r="N34" s="2" t="s">
        <v>42</v>
      </c>
      <c r="O34" s="2" t="s">
        <v>43</v>
      </c>
      <c r="P34" s="7" t="s">
        <v>405</v>
      </c>
      <c r="Q34" s="2" t="s">
        <v>376</v>
      </c>
      <c r="R34" s="6" t="s">
        <v>132</v>
      </c>
      <c r="S34" s="2" t="s">
        <v>52</v>
      </c>
    </row>
    <row r="35" spans="1:19" x14ac:dyDescent="0.25">
      <c r="A35" s="7" t="s">
        <v>30</v>
      </c>
      <c r="B35" s="7" t="s">
        <v>31</v>
      </c>
      <c r="C35" s="7" t="s">
        <v>32</v>
      </c>
      <c r="D35" s="8">
        <v>3950</v>
      </c>
      <c r="E35" s="9">
        <v>107.71</v>
      </c>
      <c r="F35" s="9">
        <f t="shared" si="2"/>
        <v>425454.5</v>
      </c>
      <c r="G35" s="2" t="s">
        <v>388</v>
      </c>
      <c r="H35" s="7" t="s">
        <v>33</v>
      </c>
      <c r="I35" s="10">
        <v>38</v>
      </c>
      <c r="J35" s="8">
        <v>3691</v>
      </c>
      <c r="K35" s="9">
        <v>21.74</v>
      </c>
      <c r="L35" s="9">
        <f t="shared" si="3"/>
        <v>80242.34</v>
      </c>
      <c r="M35" s="7" t="s">
        <v>133</v>
      </c>
      <c r="N35" s="7" t="s">
        <v>19</v>
      </c>
      <c r="O35" s="7" t="s">
        <v>43</v>
      </c>
      <c r="P35" s="7" t="s">
        <v>405</v>
      </c>
      <c r="Q35" s="2" t="s">
        <v>376</v>
      </c>
      <c r="R35" s="11" t="s">
        <v>134</v>
      </c>
      <c r="S35" s="7" t="s">
        <v>52</v>
      </c>
    </row>
    <row r="36" spans="1:19" x14ac:dyDescent="0.25">
      <c r="A36" s="2" t="s">
        <v>23</v>
      </c>
      <c r="B36" s="2" t="s">
        <v>24</v>
      </c>
      <c r="C36" s="2" t="s">
        <v>25</v>
      </c>
      <c r="D36" s="3">
        <v>3300</v>
      </c>
      <c r="E36" s="4">
        <v>315.12</v>
      </c>
      <c r="F36" s="4">
        <f t="shared" si="2"/>
        <v>1039896</v>
      </c>
      <c r="G36" s="7" t="s">
        <v>383</v>
      </c>
      <c r="H36" s="2" t="s">
        <v>26</v>
      </c>
      <c r="I36" s="5">
        <v>13</v>
      </c>
      <c r="J36" s="3">
        <v>3193</v>
      </c>
      <c r="K36" s="4">
        <v>541.19000000000005</v>
      </c>
      <c r="L36" s="4">
        <f t="shared" si="3"/>
        <v>1728019.6700000002</v>
      </c>
      <c r="M36" s="2" t="s">
        <v>135</v>
      </c>
      <c r="N36" s="2" t="s">
        <v>50</v>
      </c>
      <c r="O36" s="2" t="s">
        <v>20</v>
      </c>
      <c r="P36" s="2" t="s">
        <v>400</v>
      </c>
      <c r="Q36" s="2" t="s">
        <v>375</v>
      </c>
      <c r="R36" s="6" t="s">
        <v>132</v>
      </c>
      <c r="S36" s="2" t="s">
        <v>73</v>
      </c>
    </row>
    <row r="37" spans="1:19" x14ac:dyDescent="0.25">
      <c r="A37" s="7" t="s">
        <v>37</v>
      </c>
      <c r="B37" s="7" t="s">
        <v>38</v>
      </c>
      <c r="C37" s="7" t="s">
        <v>39</v>
      </c>
      <c r="D37" s="8">
        <v>1850</v>
      </c>
      <c r="E37" s="9">
        <v>95.16</v>
      </c>
      <c r="F37" s="9">
        <f t="shared" si="2"/>
        <v>176046</v>
      </c>
      <c r="G37" s="7" t="s">
        <v>391</v>
      </c>
      <c r="H37" s="7" t="s">
        <v>40</v>
      </c>
      <c r="I37" s="10">
        <v>16</v>
      </c>
      <c r="J37" s="8">
        <v>328</v>
      </c>
      <c r="K37" s="9">
        <v>36.22</v>
      </c>
      <c r="L37" s="9">
        <f t="shared" si="3"/>
        <v>11880.16</v>
      </c>
      <c r="M37" s="7" t="s">
        <v>136</v>
      </c>
      <c r="N37" s="7" t="s">
        <v>28</v>
      </c>
      <c r="O37" s="7" t="s">
        <v>43</v>
      </c>
      <c r="P37" s="7" t="s">
        <v>405</v>
      </c>
      <c r="Q37" s="2" t="s">
        <v>376</v>
      </c>
      <c r="R37" s="11" t="s">
        <v>99</v>
      </c>
      <c r="S37" s="7" t="s">
        <v>81</v>
      </c>
    </row>
    <row r="38" spans="1:19" x14ac:dyDescent="0.25">
      <c r="A38" s="2" t="s">
        <v>106</v>
      </c>
      <c r="B38" s="2" t="s">
        <v>107</v>
      </c>
      <c r="C38" s="2" t="s">
        <v>108</v>
      </c>
      <c r="D38" s="3">
        <v>4600</v>
      </c>
      <c r="E38" s="4">
        <v>206.58</v>
      </c>
      <c r="F38" s="4">
        <f t="shared" si="2"/>
        <v>950268</v>
      </c>
      <c r="G38" s="7" t="s">
        <v>386</v>
      </c>
      <c r="H38" s="2" t="s">
        <v>109</v>
      </c>
      <c r="I38" s="5">
        <v>42</v>
      </c>
      <c r="J38" s="3">
        <v>3658</v>
      </c>
      <c r="K38" s="4">
        <v>8.84</v>
      </c>
      <c r="L38" s="4">
        <f t="shared" si="3"/>
        <v>32336.720000000001</v>
      </c>
      <c r="M38" s="2" t="s">
        <v>137</v>
      </c>
      <c r="N38" s="2" t="s">
        <v>101</v>
      </c>
      <c r="O38" s="2" t="s">
        <v>43</v>
      </c>
      <c r="P38" s="7" t="s">
        <v>405</v>
      </c>
      <c r="Q38" s="2" t="s">
        <v>376</v>
      </c>
      <c r="R38" s="6" t="s">
        <v>121</v>
      </c>
      <c r="S38" s="2" t="s">
        <v>44</v>
      </c>
    </row>
    <row r="39" spans="1:19" x14ac:dyDescent="0.25">
      <c r="A39" s="7" t="s">
        <v>37</v>
      </c>
      <c r="B39" s="7" t="s">
        <v>38</v>
      </c>
      <c r="C39" s="7" t="s">
        <v>39</v>
      </c>
      <c r="D39" s="8">
        <v>3100</v>
      </c>
      <c r="E39" s="9">
        <v>97.68</v>
      </c>
      <c r="F39" s="9">
        <f t="shared" si="2"/>
        <v>302808</v>
      </c>
      <c r="G39" s="7" t="s">
        <v>391</v>
      </c>
      <c r="H39" s="7" t="s">
        <v>40</v>
      </c>
      <c r="I39" s="10">
        <v>29</v>
      </c>
      <c r="J39" s="8">
        <v>1346</v>
      </c>
      <c r="K39" s="9">
        <v>34.57</v>
      </c>
      <c r="L39" s="9">
        <f t="shared" si="3"/>
        <v>46531.22</v>
      </c>
      <c r="M39" s="7" t="s">
        <v>138</v>
      </c>
      <c r="N39" s="7" t="s">
        <v>42</v>
      </c>
      <c r="O39" s="7" t="s">
        <v>35</v>
      </c>
      <c r="P39" s="2" t="s">
        <v>403</v>
      </c>
      <c r="Q39" s="2" t="s">
        <v>376</v>
      </c>
      <c r="R39" s="11" t="s">
        <v>139</v>
      </c>
      <c r="S39" s="7" t="s">
        <v>52</v>
      </c>
    </row>
    <row r="40" spans="1:19" x14ac:dyDescent="0.25">
      <c r="A40" s="2" t="s">
        <v>67</v>
      </c>
      <c r="B40" s="2" t="s">
        <v>68</v>
      </c>
      <c r="C40" s="2" t="s">
        <v>69</v>
      </c>
      <c r="D40" s="3">
        <v>5000</v>
      </c>
      <c r="E40" s="4">
        <v>453.6</v>
      </c>
      <c r="F40" s="4">
        <f t="shared" si="2"/>
        <v>2268000</v>
      </c>
      <c r="G40" s="2" t="s">
        <v>390</v>
      </c>
      <c r="H40" s="2" t="s">
        <v>70</v>
      </c>
      <c r="I40" s="5">
        <v>31</v>
      </c>
      <c r="J40" s="3">
        <v>3235</v>
      </c>
      <c r="K40" s="4">
        <v>2477.46</v>
      </c>
      <c r="L40" s="4">
        <f t="shared" si="3"/>
        <v>8014583.1000000006</v>
      </c>
      <c r="M40" s="2" t="s">
        <v>140</v>
      </c>
      <c r="N40" s="2" t="s">
        <v>19</v>
      </c>
      <c r="O40" s="2" t="s">
        <v>85</v>
      </c>
      <c r="P40" s="2" t="s">
        <v>402</v>
      </c>
      <c r="Q40" s="2" t="s">
        <v>376</v>
      </c>
      <c r="R40" s="6" t="s">
        <v>29</v>
      </c>
      <c r="S40" s="2" t="s">
        <v>73</v>
      </c>
    </row>
    <row r="41" spans="1:19" x14ac:dyDescent="0.25">
      <c r="A41" s="7" t="s">
        <v>23</v>
      </c>
      <c r="B41" s="7" t="s">
        <v>24</v>
      </c>
      <c r="C41" s="7" t="s">
        <v>25</v>
      </c>
      <c r="D41" s="8">
        <v>2650</v>
      </c>
      <c r="E41" s="9">
        <v>313.82</v>
      </c>
      <c r="F41" s="9">
        <f t="shared" si="2"/>
        <v>831623</v>
      </c>
      <c r="G41" s="7" t="s">
        <v>383</v>
      </c>
      <c r="H41" s="7" t="s">
        <v>26</v>
      </c>
      <c r="I41" s="10">
        <v>14</v>
      </c>
      <c r="J41" s="8">
        <v>1945</v>
      </c>
      <c r="K41" s="9">
        <v>549.5</v>
      </c>
      <c r="L41" s="9">
        <f t="shared" si="3"/>
        <v>1068777.5</v>
      </c>
      <c r="M41" s="7" t="s">
        <v>141</v>
      </c>
      <c r="N41" s="7" t="s">
        <v>104</v>
      </c>
      <c r="O41" s="2" t="s">
        <v>377</v>
      </c>
      <c r="P41" s="2" t="s">
        <v>401</v>
      </c>
      <c r="Q41" s="2" t="s">
        <v>378</v>
      </c>
      <c r="R41" s="11" t="s">
        <v>142</v>
      </c>
      <c r="S41" s="7" t="s">
        <v>44</v>
      </c>
    </row>
    <row r="42" spans="1:19" x14ac:dyDescent="0.25">
      <c r="A42" s="2" t="s">
        <v>59</v>
      </c>
      <c r="B42" s="2" t="s">
        <v>60</v>
      </c>
      <c r="C42" s="2" t="s">
        <v>61</v>
      </c>
      <c r="D42" s="3">
        <v>4750</v>
      </c>
      <c r="E42" s="4">
        <v>283.68</v>
      </c>
      <c r="F42" s="4">
        <f t="shared" ref="F42:F73" si="4">D42*E42</f>
        <v>1347480</v>
      </c>
      <c r="G42" s="2" t="s">
        <v>384</v>
      </c>
      <c r="H42" s="2" t="s">
        <v>62</v>
      </c>
      <c r="I42" s="5">
        <v>39</v>
      </c>
      <c r="J42" s="3">
        <v>2425</v>
      </c>
      <c r="K42" s="4">
        <v>64.150000000000006</v>
      </c>
      <c r="L42" s="4">
        <f t="shared" ref="L42:L73" si="5">J42*K42</f>
        <v>155563.75</v>
      </c>
      <c r="M42" s="2" t="s">
        <v>143</v>
      </c>
      <c r="N42" s="2" t="s">
        <v>42</v>
      </c>
      <c r="O42" s="2" t="s">
        <v>35</v>
      </c>
      <c r="P42" s="2" t="s">
        <v>403</v>
      </c>
      <c r="Q42" s="2" t="s">
        <v>376</v>
      </c>
      <c r="R42" s="6" t="s">
        <v>102</v>
      </c>
      <c r="S42" s="2" t="s">
        <v>44</v>
      </c>
    </row>
    <row r="43" spans="1:19" x14ac:dyDescent="0.25">
      <c r="A43" s="7" t="s">
        <v>14</v>
      </c>
      <c r="B43" s="7" t="s">
        <v>15</v>
      </c>
      <c r="C43" s="7" t="s">
        <v>16</v>
      </c>
      <c r="D43" s="8">
        <v>2750</v>
      </c>
      <c r="E43" s="9">
        <v>133.57</v>
      </c>
      <c r="F43" s="9">
        <f t="shared" si="4"/>
        <v>367317.5</v>
      </c>
      <c r="G43" s="2" t="s">
        <v>382</v>
      </c>
      <c r="H43" s="7" t="s">
        <v>17</v>
      </c>
      <c r="I43" s="10">
        <v>13</v>
      </c>
      <c r="J43" s="8">
        <v>3554</v>
      </c>
      <c r="K43" s="9">
        <v>55.71</v>
      </c>
      <c r="L43" s="9">
        <f t="shared" si="5"/>
        <v>197993.34</v>
      </c>
      <c r="M43" s="7" t="s">
        <v>144</v>
      </c>
      <c r="N43" s="7" t="s">
        <v>75</v>
      </c>
      <c r="O43" s="7" t="s">
        <v>20</v>
      </c>
      <c r="P43" s="2" t="s">
        <v>400</v>
      </c>
      <c r="Q43" s="2" t="s">
        <v>375</v>
      </c>
      <c r="R43" s="11" t="s">
        <v>78</v>
      </c>
      <c r="S43" s="7" t="s">
        <v>44</v>
      </c>
    </row>
    <row r="44" spans="1:19" x14ac:dyDescent="0.25">
      <c r="A44" s="2" t="s">
        <v>30</v>
      </c>
      <c r="B44" s="2" t="s">
        <v>31</v>
      </c>
      <c r="C44" s="2" t="s">
        <v>32</v>
      </c>
      <c r="D44" s="3">
        <v>1500</v>
      </c>
      <c r="E44" s="4">
        <v>107.41</v>
      </c>
      <c r="F44" s="4">
        <f t="shared" si="4"/>
        <v>161115</v>
      </c>
      <c r="G44" s="2" t="s">
        <v>388</v>
      </c>
      <c r="H44" s="2" t="s">
        <v>33</v>
      </c>
      <c r="I44" s="5">
        <v>21</v>
      </c>
      <c r="J44" s="3">
        <v>2809</v>
      </c>
      <c r="K44" s="4">
        <v>22.53</v>
      </c>
      <c r="L44" s="4">
        <f t="shared" si="5"/>
        <v>63286.770000000004</v>
      </c>
      <c r="M44" s="2" t="s">
        <v>145</v>
      </c>
      <c r="N44" s="2" t="s">
        <v>50</v>
      </c>
      <c r="O44" s="2" t="s">
        <v>35</v>
      </c>
      <c r="P44" s="2" t="s">
        <v>403</v>
      </c>
      <c r="Q44" s="2" t="s">
        <v>376</v>
      </c>
      <c r="R44" s="6" t="s">
        <v>146</v>
      </c>
      <c r="S44" s="2" t="s">
        <v>52</v>
      </c>
    </row>
    <row r="45" spans="1:19" x14ac:dyDescent="0.25">
      <c r="A45" s="7" t="s">
        <v>45</v>
      </c>
      <c r="B45" s="7" t="s">
        <v>46</v>
      </c>
      <c r="C45" s="7" t="s">
        <v>47</v>
      </c>
      <c r="D45" s="8">
        <v>1950</v>
      </c>
      <c r="E45" s="9">
        <v>130.47</v>
      </c>
      <c r="F45" s="9">
        <f t="shared" si="4"/>
        <v>254416.5</v>
      </c>
      <c r="G45" s="2" t="s">
        <v>385</v>
      </c>
      <c r="H45" s="7" t="s">
        <v>48</v>
      </c>
      <c r="I45" s="10">
        <v>20</v>
      </c>
      <c r="J45" s="8">
        <v>4722</v>
      </c>
      <c r="K45" s="9">
        <v>180.72</v>
      </c>
      <c r="L45" s="9">
        <f t="shared" si="5"/>
        <v>853359.84</v>
      </c>
      <c r="M45" s="7" t="s">
        <v>147</v>
      </c>
      <c r="N45" s="7" t="s">
        <v>42</v>
      </c>
      <c r="O45" s="7" t="s">
        <v>35</v>
      </c>
      <c r="P45" s="2" t="s">
        <v>403</v>
      </c>
      <c r="Q45" s="2" t="s">
        <v>376</v>
      </c>
      <c r="R45" s="11" t="s">
        <v>148</v>
      </c>
      <c r="S45" s="2" t="s">
        <v>397</v>
      </c>
    </row>
    <row r="46" spans="1:19" x14ac:dyDescent="0.25">
      <c r="A46" s="2" t="s">
        <v>89</v>
      </c>
      <c r="B46" s="2" t="s">
        <v>90</v>
      </c>
      <c r="C46" s="2" t="s">
        <v>91</v>
      </c>
      <c r="D46" s="3">
        <v>2250</v>
      </c>
      <c r="E46" s="4">
        <v>112.23</v>
      </c>
      <c r="F46" s="4">
        <f t="shared" si="4"/>
        <v>252517.5</v>
      </c>
      <c r="G46" s="7" t="s">
        <v>387</v>
      </c>
      <c r="H46" s="2" t="s">
        <v>92</v>
      </c>
      <c r="I46" s="5">
        <v>10</v>
      </c>
      <c r="J46" s="3">
        <v>2045</v>
      </c>
      <c r="K46" s="4">
        <v>44.94</v>
      </c>
      <c r="L46" s="4">
        <f t="shared" si="5"/>
        <v>91902.299999999988</v>
      </c>
      <c r="M46" s="2" t="s">
        <v>149</v>
      </c>
      <c r="N46" s="2" t="s">
        <v>104</v>
      </c>
      <c r="O46" s="2" t="s">
        <v>20</v>
      </c>
      <c r="P46" s="2" t="s">
        <v>400</v>
      </c>
      <c r="Q46" s="2" t="s">
        <v>375</v>
      </c>
      <c r="R46" s="6" t="s">
        <v>150</v>
      </c>
      <c r="S46" s="2" t="s">
        <v>44</v>
      </c>
    </row>
    <row r="47" spans="1:19" x14ac:dyDescent="0.25">
      <c r="A47" s="7" t="s">
        <v>30</v>
      </c>
      <c r="B47" s="7" t="s">
        <v>31</v>
      </c>
      <c r="C47" s="7" t="s">
        <v>32</v>
      </c>
      <c r="D47" s="8">
        <v>4550</v>
      </c>
      <c r="E47" s="9">
        <v>104.45</v>
      </c>
      <c r="F47" s="9">
        <f t="shared" si="4"/>
        <v>475247.5</v>
      </c>
      <c r="G47" s="2" t="s">
        <v>388</v>
      </c>
      <c r="H47" s="7" t="s">
        <v>33</v>
      </c>
      <c r="I47" s="10">
        <v>14</v>
      </c>
      <c r="J47" s="8">
        <v>517</v>
      </c>
      <c r="K47" s="9">
        <v>22.19</v>
      </c>
      <c r="L47" s="9">
        <f t="shared" si="5"/>
        <v>11472.230000000001</v>
      </c>
      <c r="M47" s="7" t="s">
        <v>151</v>
      </c>
      <c r="N47" s="7" t="s">
        <v>50</v>
      </c>
      <c r="O47" s="7" t="s">
        <v>20</v>
      </c>
      <c r="P47" s="2" t="s">
        <v>400</v>
      </c>
      <c r="Q47" s="2" t="s">
        <v>375</v>
      </c>
      <c r="R47" s="11" t="s">
        <v>152</v>
      </c>
      <c r="S47" s="7" t="s">
        <v>81</v>
      </c>
    </row>
    <row r="48" spans="1:19" x14ac:dyDescent="0.25">
      <c r="A48" s="2" t="s">
        <v>14</v>
      </c>
      <c r="B48" s="2" t="s">
        <v>15</v>
      </c>
      <c r="C48" s="2" t="s">
        <v>16</v>
      </c>
      <c r="D48" s="3">
        <v>1450</v>
      </c>
      <c r="E48" s="4">
        <v>144.19</v>
      </c>
      <c r="F48" s="4">
        <f t="shared" si="4"/>
        <v>209075.5</v>
      </c>
      <c r="G48" s="2" t="s">
        <v>382</v>
      </c>
      <c r="H48" s="2" t="s">
        <v>17</v>
      </c>
      <c r="I48" s="5">
        <v>14</v>
      </c>
      <c r="J48" s="3">
        <v>3344</v>
      </c>
      <c r="K48" s="4">
        <v>56.8</v>
      </c>
      <c r="L48" s="4">
        <f t="shared" si="5"/>
        <v>189939.19999999998</v>
      </c>
      <c r="M48" s="2" t="s">
        <v>153</v>
      </c>
      <c r="N48" s="2" t="s">
        <v>19</v>
      </c>
      <c r="O48" s="2" t="s">
        <v>35</v>
      </c>
      <c r="P48" s="2" t="s">
        <v>403</v>
      </c>
      <c r="Q48" s="2" t="s">
        <v>376</v>
      </c>
      <c r="R48" s="6" t="s">
        <v>154</v>
      </c>
      <c r="S48" s="2" t="s">
        <v>52</v>
      </c>
    </row>
    <row r="49" spans="1:19" x14ac:dyDescent="0.25">
      <c r="A49" s="7" t="s">
        <v>89</v>
      </c>
      <c r="B49" s="7" t="s">
        <v>90</v>
      </c>
      <c r="C49" s="7" t="s">
        <v>91</v>
      </c>
      <c r="D49" s="8">
        <v>4550</v>
      </c>
      <c r="E49" s="9">
        <v>105.71</v>
      </c>
      <c r="F49" s="9">
        <f t="shared" si="4"/>
        <v>480980.5</v>
      </c>
      <c r="G49" s="7" t="s">
        <v>387</v>
      </c>
      <c r="H49" s="7" t="s">
        <v>92</v>
      </c>
      <c r="I49" s="10">
        <v>27</v>
      </c>
      <c r="J49" s="8">
        <v>4104</v>
      </c>
      <c r="K49" s="9">
        <v>44.39</v>
      </c>
      <c r="L49" s="9">
        <f t="shared" si="5"/>
        <v>182176.56</v>
      </c>
      <c r="M49" s="7" t="s">
        <v>155</v>
      </c>
      <c r="N49" s="7" t="s">
        <v>19</v>
      </c>
      <c r="O49" s="7" t="s">
        <v>43</v>
      </c>
      <c r="P49" s="7" t="s">
        <v>405</v>
      </c>
      <c r="Q49" s="2" t="s">
        <v>376</v>
      </c>
      <c r="R49" s="11" t="s">
        <v>156</v>
      </c>
      <c r="S49" s="2" t="s">
        <v>397</v>
      </c>
    </row>
    <row r="50" spans="1:19" x14ac:dyDescent="0.25">
      <c r="A50" s="2" t="s">
        <v>14</v>
      </c>
      <c r="B50" s="2" t="s">
        <v>15</v>
      </c>
      <c r="C50" s="2" t="s">
        <v>16</v>
      </c>
      <c r="D50" s="3">
        <v>4850</v>
      </c>
      <c r="E50" s="4">
        <v>143.13</v>
      </c>
      <c r="F50" s="4">
        <f t="shared" si="4"/>
        <v>694180.5</v>
      </c>
      <c r="G50" s="2" t="s">
        <v>382</v>
      </c>
      <c r="H50" s="2" t="s">
        <v>17</v>
      </c>
      <c r="I50" s="5">
        <v>19</v>
      </c>
      <c r="J50" s="3">
        <v>2157</v>
      </c>
      <c r="K50" s="4">
        <v>55.71</v>
      </c>
      <c r="L50" s="4">
        <f t="shared" si="5"/>
        <v>120166.47</v>
      </c>
      <c r="M50" s="2" t="s">
        <v>157</v>
      </c>
      <c r="N50" s="2" t="s">
        <v>19</v>
      </c>
      <c r="O50" s="2" t="s">
        <v>20</v>
      </c>
      <c r="P50" s="2" t="s">
        <v>400</v>
      </c>
      <c r="Q50" s="2" t="s">
        <v>375</v>
      </c>
      <c r="R50" s="6" t="s">
        <v>158</v>
      </c>
      <c r="S50" s="2" t="s">
        <v>52</v>
      </c>
    </row>
    <row r="51" spans="1:19" x14ac:dyDescent="0.25">
      <c r="A51" s="7" t="s">
        <v>89</v>
      </c>
      <c r="B51" s="7" t="s">
        <v>90</v>
      </c>
      <c r="C51" s="7" t="s">
        <v>91</v>
      </c>
      <c r="D51" s="8">
        <v>3850</v>
      </c>
      <c r="E51" s="9">
        <v>109.77</v>
      </c>
      <c r="F51" s="9">
        <f t="shared" si="4"/>
        <v>422614.5</v>
      </c>
      <c r="G51" s="7" t="s">
        <v>387</v>
      </c>
      <c r="H51" s="7" t="s">
        <v>92</v>
      </c>
      <c r="I51" s="10">
        <v>39</v>
      </c>
      <c r="J51" s="8">
        <v>2174</v>
      </c>
      <c r="K51" s="9">
        <v>44.72</v>
      </c>
      <c r="L51" s="9">
        <f t="shared" si="5"/>
        <v>97221.28</v>
      </c>
      <c r="M51" s="7" t="s">
        <v>159</v>
      </c>
      <c r="N51" s="7" t="s">
        <v>101</v>
      </c>
      <c r="O51" s="7" t="s">
        <v>20</v>
      </c>
      <c r="P51" s="2" t="s">
        <v>400</v>
      </c>
      <c r="Q51" s="2" t="s">
        <v>375</v>
      </c>
      <c r="R51" s="11" t="s">
        <v>99</v>
      </c>
      <c r="S51" s="7" t="s">
        <v>81</v>
      </c>
    </row>
    <row r="52" spans="1:19" x14ac:dyDescent="0.25">
      <c r="A52" s="2" t="s">
        <v>53</v>
      </c>
      <c r="B52" s="2" t="s">
        <v>54</v>
      </c>
      <c r="C52" s="2" t="s">
        <v>55</v>
      </c>
      <c r="D52" s="3">
        <v>4350</v>
      </c>
      <c r="E52" s="4">
        <v>82.28</v>
      </c>
      <c r="F52" s="4">
        <f t="shared" si="4"/>
        <v>357918</v>
      </c>
      <c r="G52" s="7" t="s">
        <v>389</v>
      </c>
      <c r="H52" s="2" t="s">
        <v>56</v>
      </c>
      <c r="I52" s="5">
        <v>36</v>
      </c>
      <c r="J52" s="3">
        <v>4928</v>
      </c>
      <c r="K52" s="4">
        <v>150.02000000000001</v>
      </c>
      <c r="L52" s="4">
        <f t="shared" si="5"/>
        <v>739298.56</v>
      </c>
      <c r="M52" s="2" t="s">
        <v>160</v>
      </c>
      <c r="N52" s="2" t="s">
        <v>19</v>
      </c>
      <c r="O52" s="2" t="s">
        <v>43</v>
      </c>
      <c r="P52" s="7" t="s">
        <v>405</v>
      </c>
      <c r="Q52" s="2" t="s">
        <v>376</v>
      </c>
      <c r="R52" s="6" t="s">
        <v>161</v>
      </c>
      <c r="S52" s="2" t="s">
        <v>44</v>
      </c>
    </row>
    <row r="53" spans="1:19" x14ac:dyDescent="0.25">
      <c r="A53" s="7" t="s">
        <v>59</v>
      </c>
      <c r="B53" s="7" t="s">
        <v>60</v>
      </c>
      <c r="C53" s="7" t="s">
        <v>61</v>
      </c>
      <c r="D53" s="8">
        <v>1200</v>
      </c>
      <c r="E53" s="9">
        <v>276.08</v>
      </c>
      <c r="F53" s="9">
        <f t="shared" si="4"/>
        <v>331296</v>
      </c>
      <c r="G53" s="2" t="s">
        <v>384</v>
      </c>
      <c r="H53" s="7" t="s">
        <v>62</v>
      </c>
      <c r="I53" s="10">
        <v>37</v>
      </c>
      <c r="J53" s="8">
        <v>1562</v>
      </c>
      <c r="K53" s="9">
        <v>64.8</v>
      </c>
      <c r="L53" s="9">
        <f t="shared" si="5"/>
        <v>101217.59999999999</v>
      </c>
      <c r="M53" s="7" t="s">
        <v>162</v>
      </c>
      <c r="N53" s="7" t="s">
        <v>42</v>
      </c>
      <c r="O53" s="2" t="s">
        <v>377</v>
      </c>
      <c r="P53" s="2" t="s">
        <v>401</v>
      </c>
      <c r="Q53" s="2" t="s">
        <v>378</v>
      </c>
      <c r="R53" s="11" t="s">
        <v>163</v>
      </c>
      <c r="S53" s="7" t="s">
        <v>73</v>
      </c>
    </row>
    <row r="54" spans="1:19" x14ac:dyDescent="0.25">
      <c r="A54" s="2" t="s">
        <v>67</v>
      </c>
      <c r="B54" s="2" t="s">
        <v>68</v>
      </c>
      <c r="C54" s="2" t="s">
        <v>69</v>
      </c>
      <c r="D54" s="3">
        <v>4400</v>
      </c>
      <c r="E54" s="4">
        <v>430.48</v>
      </c>
      <c r="F54" s="4">
        <f t="shared" si="4"/>
        <v>1894112</v>
      </c>
      <c r="G54" s="2" t="s">
        <v>390</v>
      </c>
      <c r="H54" s="2" t="s">
        <v>70</v>
      </c>
      <c r="I54" s="5">
        <v>28</v>
      </c>
      <c r="J54" s="3">
        <v>132</v>
      </c>
      <c r="K54" s="4">
        <v>2436.3200000000002</v>
      </c>
      <c r="L54" s="4">
        <f t="shared" si="5"/>
        <v>321594.24000000005</v>
      </c>
      <c r="M54" s="2" t="s">
        <v>164</v>
      </c>
      <c r="N54" s="2" t="s">
        <v>104</v>
      </c>
      <c r="O54" s="2" t="s">
        <v>20</v>
      </c>
      <c r="P54" s="2" t="s">
        <v>400</v>
      </c>
      <c r="Q54" s="2" t="s">
        <v>375</v>
      </c>
      <c r="R54" s="6" t="s">
        <v>165</v>
      </c>
      <c r="S54" s="2" t="s">
        <v>81</v>
      </c>
    </row>
    <row r="55" spans="1:19" x14ac:dyDescent="0.25">
      <c r="A55" s="7" t="s">
        <v>67</v>
      </c>
      <c r="B55" s="7" t="s">
        <v>68</v>
      </c>
      <c r="C55" s="7" t="s">
        <v>69</v>
      </c>
      <c r="D55" s="8">
        <v>2650</v>
      </c>
      <c r="E55" s="9">
        <v>462.9</v>
      </c>
      <c r="F55" s="9">
        <f t="shared" si="4"/>
        <v>1226685</v>
      </c>
      <c r="G55" s="2" t="s">
        <v>390</v>
      </c>
      <c r="H55" s="7" t="s">
        <v>70</v>
      </c>
      <c r="I55" s="10">
        <v>24</v>
      </c>
      <c r="J55" s="8">
        <v>3473</v>
      </c>
      <c r="K55" s="9">
        <v>2429.69</v>
      </c>
      <c r="L55" s="9">
        <f t="shared" si="5"/>
        <v>8438313.370000001</v>
      </c>
      <c r="M55" s="7" t="s">
        <v>166</v>
      </c>
      <c r="N55" s="7" t="s">
        <v>75</v>
      </c>
      <c r="O55" s="2" t="s">
        <v>377</v>
      </c>
      <c r="P55" s="2" t="s">
        <v>401</v>
      </c>
      <c r="Q55" s="2" t="s">
        <v>378</v>
      </c>
      <c r="R55" s="11" t="s">
        <v>167</v>
      </c>
      <c r="S55" s="7" t="s">
        <v>73</v>
      </c>
    </row>
    <row r="56" spans="1:19" x14ac:dyDescent="0.25">
      <c r="A56" s="2" t="s">
        <v>14</v>
      </c>
      <c r="B56" s="2" t="s">
        <v>15</v>
      </c>
      <c r="C56" s="2" t="s">
        <v>16</v>
      </c>
      <c r="D56" s="3">
        <v>3150</v>
      </c>
      <c r="E56" s="4">
        <v>142.63</v>
      </c>
      <c r="F56" s="4">
        <f t="shared" si="4"/>
        <v>449284.5</v>
      </c>
      <c r="G56" s="2" t="s">
        <v>382</v>
      </c>
      <c r="H56" s="2" t="s">
        <v>17</v>
      </c>
      <c r="I56" s="5">
        <v>41</v>
      </c>
      <c r="J56" s="3">
        <v>3102</v>
      </c>
      <c r="K56" s="4">
        <v>56.61</v>
      </c>
      <c r="L56" s="4">
        <f t="shared" si="5"/>
        <v>175604.22</v>
      </c>
      <c r="M56" s="2" t="s">
        <v>168</v>
      </c>
      <c r="N56" s="2" t="s">
        <v>28</v>
      </c>
      <c r="O56" s="2" t="s">
        <v>35</v>
      </c>
      <c r="P56" s="2" t="s">
        <v>403</v>
      </c>
      <c r="Q56" s="2" t="s">
        <v>376</v>
      </c>
      <c r="R56" s="6" t="s">
        <v>169</v>
      </c>
      <c r="S56" s="2" t="s">
        <v>81</v>
      </c>
    </row>
    <row r="57" spans="1:19" x14ac:dyDescent="0.25">
      <c r="A57" s="7" t="s">
        <v>45</v>
      </c>
      <c r="B57" s="7" t="s">
        <v>46</v>
      </c>
      <c r="C57" s="7" t="s">
        <v>47</v>
      </c>
      <c r="D57" s="8">
        <v>4050</v>
      </c>
      <c r="E57" s="9">
        <v>127.63</v>
      </c>
      <c r="F57" s="9">
        <f t="shared" si="4"/>
        <v>516901.5</v>
      </c>
      <c r="G57" s="2" t="s">
        <v>385</v>
      </c>
      <c r="H57" s="7" t="s">
        <v>48</v>
      </c>
      <c r="I57" s="10">
        <v>41</v>
      </c>
      <c r="J57" s="8">
        <v>1183</v>
      </c>
      <c r="K57" s="9">
        <v>183.02</v>
      </c>
      <c r="L57" s="9">
        <f t="shared" si="5"/>
        <v>216512.66</v>
      </c>
      <c r="M57" s="7" t="s">
        <v>170</v>
      </c>
      <c r="N57" s="7" t="s">
        <v>75</v>
      </c>
      <c r="O57" s="7" t="s">
        <v>35</v>
      </c>
      <c r="P57" s="2" t="s">
        <v>403</v>
      </c>
      <c r="Q57" s="2" t="s">
        <v>376</v>
      </c>
      <c r="R57" s="11" t="s">
        <v>171</v>
      </c>
      <c r="S57" s="7" t="s">
        <v>44</v>
      </c>
    </row>
    <row r="58" spans="1:19" x14ac:dyDescent="0.25">
      <c r="A58" s="2" t="s">
        <v>14</v>
      </c>
      <c r="B58" s="2" t="s">
        <v>15</v>
      </c>
      <c r="C58" s="2" t="s">
        <v>16</v>
      </c>
      <c r="D58" s="3">
        <v>4550</v>
      </c>
      <c r="E58" s="4">
        <v>140.83000000000001</v>
      </c>
      <c r="F58" s="4">
        <f t="shared" si="4"/>
        <v>640776.5</v>
      </c>
      <c r="G58" s="2" t="s">
        <v>382</v>
      </c>
      <c r="H58" s="2" t="s">
        <v>17</v>
      </c>
      <c r="I58" s="5">
        <v>40</v>
      </c>
      <c r="J58" s="3">
        <v>4355</v>
      </c>
      <c r="K58" s="4">
        <v>56.52</v>
      </c>
      <c r="L58" s="4">
        <f t="shared" si="5"/>
        <v>246144.6</v>
      </c>
      <c r="M58" s="2" t="s">
        <v>172</v>
      </c>
      <c r="N58" s="2" t="s">
        <v>104</v>
      </c>
      <c r="O58" s="2" t="s">
        <v>85</v>
      </c>
      <c r="P58" s="2" t="s">
        <v>402</v>
      </c>
      <c r="Q58" s="2" t="s">
        <v>376</v>
      </c>
      <c r="R58" s="6" t="s">
        <v>173</v>
      </c>
      <c r="S58" s="2" t="s">
        <v>44</v>
      </c>
    </row>
    <row r="59" spans="1:19" x14ac:dyDescent="0.25">
      <c r="A59" s="7" t="s">
        <v>106</v>
      </c>
      <c r="B59" s="7" t="s">
        <v>107</v>
      </c>
      <c r="C59" s="7" t="s">
        <v>108</v>
      </c>
      <c r="D59" s="8">
        <v>3050</v>
      </c>
      <c r="E59" s="9">
        <v>212.47</v>
      </c>
      <c r="F59" s="9">
        <f t="shared" si="4"/>
        <v>648033.5</v>
      </c>
      <c r="G59" s="7" t="s">
        <v>386</v>
      </c>
      <c r="H59" s="7" t="s">
        <v>109</v>
      </c>
      <c r="I59" s="10">
        <v>39</v>
      </c>
      <c r="J59" s="8">
        <v>2727</v>
      </c>
      <c r="K59" s="9">
        <v>8.4700000000000006</v>
      </c>
      <c r="L59" s="9">
        <f t="shared" si="5"/>
        <v>23097.690000000002</v>
      </c>
      <c r="M59" s="7" t="s">
        <v>174</v>
      </c>
      <c r="N59" s="7" t="s">
        <v>50</v>
      </c>
      <c r="O59" s="7" t="s">
        <v>85</v>
      </c>
      <c r="P59" s="2" t="s">
        <v>402</v>
      </c>
      <c r="Q59" s="2" t="s">
        <v>376</v>
      </c>
      <c r="R59" s="11" t="s">
        <v>121</v>
      </c>
      <c r="S59" s="7" t="s">
        <v>52</v>
      </c>
    </row>
    <row r="60" spans="1:19" x14ac:dyDescent="0.25">
      <c r="A60" s="2" t="s">
        <v>59</v>
      </c>
      <c r="B60" s="2" t="s">
        <v>60</v>
      </c>
      <c r="C60" s="2" t="s">
        <v>61</v>
      </c>
      <c r="D60" s="3">
        <v>3300</v>
      </c>
      <c r="E60" s="4">
        <v>290.94</v>
      </c>
      <c r="F60" s="4">
        <f t="shared" si="4"/>
        <v>960102</v>
      </c>
      <c r="G60" s="2" t="s">
        <v>384</v>
      </c>
      <c r="H60" s="2" t="s">
        <v>62</v>
      </c>
      <c r="I60" s="5">
        <v>19</v>
      </c>
      <c r="J60" s="3">
        <v>4863</v>
      </c>
      <c r="K60" s="4">
        <v>65.069999999999993</v>
      </c>
      <c r="L60" s="4">
        <f t="shared" si="5"/>
        <v>316435.40999999997</v>
      </c>
      <c r="M60" s="2" t="s">
        <v>175</v>
      </c>
      <c r="N60" s="2" t="s">
        <v>28</v>
      </c>
      <c r="O60" s="2" t="s">
        <v>43</v>
      </c>
      <c r="P60" s="7" t="s">
        <v>405</v>
      </c>
      <c r="Q60" s="2" t="s">
        <v>376</v>
      </c>
      <c r="R60" s="6" t="s">
        <v>176</v>
      </c>
      <c r="S60" s="2" t="s">
        <v>73</v>
      </c>
    </row>
    <row r="61" spans="1:19" x14ac:dyDescent="0.25">
      <c r="A61" s="7" t="s">
        <v>14</v>
      </c>
      <c r="B61" s="7" t="s">
        <v>15</v>
      </c>
      <c r="C61" s="7" t="s">
        <v>16</v>
      </c>
      <c r="D61" s="8">
        <v>4350</v>
      </c>
      <c r="E61" s="9">
        <v>138.65</v>
      </c>
      <c r="F61" s="9">
        <f t="shared" si="4"/>
        <v>603127.5</v>
      </c>
      <c r="G61" s="2" t="s">
        <v>382</v>
      </c>
      <c r="H61" s="7" t="s">
        <v>17</v>
      </c>
      <c r="I61" s="10">
        <v>14</v>
      </c>
      <c r="J61" s="8">
        <v>1916</v>
      </c>
      <c r="K61" s="9">
        <v>54.23</v>
      </c>
      <c r="L61" s="9">
        <f t="shared" si="5"/>
        <v>103904.68</v>
      </c>
      <c r="M61" s="7" t="s">
        <v>177</v>
      </c>
      <c r="N61" s="7" t="s">
        <v>104</v>
      </c>
      <c r="O61" s="7" t="s">
        <v>35</v>
      </c>
      <c r="P61" s="2" t="s">
        <v>403</v>
      </c>
      <c r="Q61" s="2" t="s">
        <v>376</v>
      </c>
      <c r="R61" s="11" t="s">
        <v>178</v>
      </c>
      <c r="S61" s="7" t="s">
        <v>44</v>
      </c>
    </row>
    <row r="62" spans="1:19" x14ac:dyDescent="0.25">
      <c r="A62" s="2" t="s">
        <v>53</v>
      </c>
      <c r="B62" s="2" t="s">
        <v>54</v>
      </c>
      <c r="C62" s="2" t="s">
        <v>55</v>
      </c>
      <c r="D62" s="3">
        <v>2550</v>
      </c>
      <c r="E62" s="4">
        <v>86.12</v>
      </c>
      <c r="F62" s="4">
        <f t="shared" si="4"/>
        <v>219606</v>
      </c>
      <c r="G62" s="7" t="s">
        <v>389</v>
      </c>
      <c r="H62" s="2" t="s">
        <v>56</v>
      </c>
      <c r="I62" s="5">
        <v>26</v>
      </c>
      <c r="J62" s="3">
        <v>3048</v>
      </c>
      <c r="K62" s="4">
        <v>144.41999999999999</v>
      </c>
      <c r="L62" s="4">
        <f t="shared" si="5"/>
        <v>440192.16</v>
      </c>
      <c r="M62" s="2" t="s">
        <v>179</v>
      </c>
      <c r="N62" s="2" t="s">
        <v>75</v>
      </c>
      <c r="O62" s="2" t="s">
        <v>35</v>
      </c>
      <c r="P62" s="2" t="s">
        <v>403</v>
      </c>
      <c r="Q62" s="2" t="s">
        <v>376</v>
      </c>
      <c r="R62" s="6" t="s">
        <v>180</v>
      </c>
      <c r="S62" s="2" t="s">
        <v>44</v>
      </c>
    </row>
    <row r="63" spans="1:19" x14ac:dyDescent="0.25">
      <c r="A63" s="7" t="s">
        <v>23</v>
      </c>
      <c r="B63" s="7" t="s">
        <v>24</v>
      </c>
      <c r="C63" s="7" t="s">
        <v>25</v>
      </c>
      <c r="D63" s="8">
        <v>3600</v>
      </c>
      <c r="E63" s="9">
        <v>319.32</v>
      </c>
      <c r="F63" s="9">
        <f t="shared" si="4"/>
        <v>1149552</v>
      </c>
      <c r="G63" s="7" t="s">
        <v>383</v>
      </c>
      <c r="H63" s="7" t="s">
        <v>26</v>
      </c>
      <c r="I63" s="10">
        <v>12</v>
      </c>
      <c r="J63" s="8">
        <v>1493</v>
      </c>
      <c r="K63" s="9">
        <v>533.08000000000004</v>
      </c>
      <c r="L63" s="9">
        <f t="shared" si="5"/>
        <v>795888.44000000006</v>
      </c>
      <c r="M63" s="7" t="s">
        <v>181</v>
      </c>
      <c r="N63" s="7" t="s">
        <v>75</v>
      </c>
      <c r="O63" s="7" t="s">
        <v>43</v>
      </c>
      <c r="P63" s="7" t="s">
        <v>405</v>
      </c>
      <c r="Q63" s="2" t="s">
        <v>376</v>
      </c>
      <c r="R63" s="11" t="s">
        <v>182</v>
      </c>
      <c r="S63" s="7" t="s">
        <v>73</v>
      </c>
    </row>
    <row r="64" spans="1:19" x14ac:dyDescent="0.25">
      <c r="A64" s="2" t="s">
        <v>37</v>
      </c>
      <c r="B64" s="2" t="s">
        <v>38</v>
      </c>
      <c r="C64" s="2" t="s">
        <v>39</v>
      </c>
      <c r="D64" s="3">
        <v>2850</v>
      </c>
      <c r="E64" s="4">
        <v>94.24</v>
      </c>
      <c r="F64" s="4">
        <f t="shared" si="4"/>
        <v>268584</v>
      </c>
      <c r="G64" s="7" t="s">
        <v>391</v>
      </c>
      <c r="H64" s="2" t="s">
        <v>40</v>
      </c>
      <c r="I64" s="5">
        <v>14</v>
      </c>
      <c r="J64" s="3">
        <v>1330</v>
      </c>
      <c r="K64" s="4">
        <v>34.94</v>
      </c>
      <c r="L64" s="4">
        <f t="shared" si="5"/>
        <v>46470.2</v>
      </c>
      <c r="M64" s="2" t="s">
        <v>183</v>
      </c>
      <c r="N64" s="2" t="s">
        <v>101</v>
      </c>
      <c r="O64" s="2" t="s">
        <v>43</v>
      </c>
      <c r="P64" s="7" t="s">
        <v>405</v>
      </c>
      <c r="Q64" s="2" t="s">
        <v>376</v>
      </c>
      <c r="R64" s="6" t="s">
        <v>72</v>
      </c>
      <c r="S64" s="2" t="s">
        <v>44</v>
      </c>
    </row>
    <row r="65" spans="1:19" x14ac:dyDescent="0.25">
      <c r="A65" s="7" t="s">
        <v>67</v>
      </c>
      <c r="B65" s="7" t="s">
        <v>68</v>
      </c>
      <c r="C65" s="7" t="s">
        <v>69</v>
      </c>
      <c r="D65" s="8">
        <v>3200</v>
      </c>
      <c r="E65" s="9">
        <v>439.73</v>
      </c>
      <c r="F65" s="9">
        <f t="shared" si="4"/>
        <v>1407136</v>
      </c>
      <c r="G65" s="2" t="s">
        <v>390</v>
      </c>
      <c r="H65" s="7" t="s">
        <v>70</v>
      </c>
      <c r="I65" s="10">
        <v>26</v>
      </c>
      <c r="J65" s="8">
        <v>4457</v>
      </c>
      <c r="K65" s="9">
        <v>2496.77</v>
      </c>
      <c r="L65" s="9">
        <f t="shared" si="5"/>
        <v>11128103.890000001</v>
      </c>
      <c r="M65" s="7" t="s">
        <v>184</v>
      </c>
      <c r="N65" s="7" t="s">
        <v>104</v>
      </c>
      <c r="O65" s="7" t="s">
        <v>85</v>
      </c>
      <c r="P65" s="2" t="s">
        <v>402</v>
      </c>
      <c r="Q65" s="2" t="s">
        <v>376</v>
      </c>
      <c r="R65" s="11" t="s">
        <v>154</v>
      </c>
      <c r="S65" s="7" t="s">
        <v>52</v>
      </c>
    </row>
    <row r="66" spans="1:19" x14ac:dyDescent="0.25">
      <c r="A66" s="2" t="s">
        <v>30</v>
      </c>
      <c r="B66" s="2" t="s">
        <v>31</v>
      </c>
      <c r="C66" s="2" t="s">
        <v>32</v>
      </c>
      <c r="D66" s="3">
        <v>1500</v>
      </c>
      <c r="E66" s="4">
        <v>99.85</v>
      </c>
      <c r="F66" s="4">
        <f t="shared" si="4"/>
        <v>149775</v>
      </c>
      <c r="G66" s="2" t="s">
        <v>388</v>
      </c>
      <c r="H66" s="2" t="s">
        <v>33</v>
      </c>
      <c r="I66" s="5">
        <v>38</v>
      </c>
      <c r="J66" s="3">
        <v>2399</v>
      </c>
      <c r="K66" s="4">
        <v>21.17</v>
      </c>
      <c r="L66" s="4">
        <f t="shared" si="5"/>
        <v>50786.83</v>
      </c>
      <c r="M66" s="2" t="s">
        <v>185</v>
      </c>
      <c r="N66" s="2" t="s">
        <v>104</v>
      </c>
      <c r="O66" s="2" t="s">
        <v>377</v>
      </c>
      <c r="P66" s="2" t="s">
        <v>401</v>
      </c>
      <c r="Q66" s="2" t="s">
        <v>378</v>
      </c>
      <c r="R66" s="6" t="s">
        <v>86</v>
      </c>
      <c r="S66" s="2" t="s">
        <v>44</v>
      </c>
    </row>
    <row r="67" spans="1:19" x14ac:dyDescent="0.25">
      <c r="A67" s="7" t="s">
        <v>37</v>
      </c>
      <c r="B67" s="7" t="s">
        <v>38</v>
      </c>
      <c r="C67" s="7" t="s">
        <v>39</v>
      </c>
      <c r="D67" s="8">
        <v>4150</v>
      </c>
      <c r="E67" s="9">
        <v>95.91</v>
      </c>
      <c r="F67" s="9">
        <f t="shared" si="4"/>
        <v>398026.5</v>
      </c>
      <c r="G67" s="7" t="s">
        <v>391</v>
      </c>
      <c r="H67" s="7" t="s">
        <v>40</v>
      </c>
      <c r="I67" s="10">
        <v>14</v>
      </c>
      <c r="J67" s="8">
        <v>4012</v>
      </c>
      <c r="K67" s="9">
        <v>35.630000000000003</v>
      </c>
      <c r="L67" s="9">
        <f t="shared" si="5"/>
        <v>142947.56</v>
      </c>
      <c r="M67" s="7" t="s">
        <v>186</v>
      </c>
      <c r="N67" s="7" t="s">
        <v>19</v>
      </c>
      <c r="O67" s="2" t="s">
        <v>377</v>
      </c>
      <c r="P67" s="2" t="s">
        <v>401</v>
      </c>
      <c r="Q67" s="2" t="s">
        <v>378</v>
      </c>
      <c r="R67" s="11" t="s">
        <v>187</v>
      </c>
      <c r="S67" s="7" t="s">
        <v>44</v>
      </c>
    </row>
    <row r="68" spans="1:19" x14ac:dyDescent="0.25">
      <c r="A68" s="2" t="s">
        <v>89</v>
      </c>
      <c r="B68" s="2" t="s">
        <v>90</v>
      </c>
      <c r="C68" s="2" t="s">
        <v>91</v>
      </c>
      <c r="D68" s="3">
        <v>1300</v>
      </c>
      <c r="E68" s="4">
        <v>108.51</v>
      </c>
      <c r="F68" s="4">
        <f t="shared" si="4"/>
        <v>141063</v>
      </c>
      <c r="G68" s="7" t="s">
        <v>387</v>
      </c>
      <c r="H68" s="2" t="s">
        <v>92</v>
      </c>
      <c r="I68" s="5">
        <v>32</v>
      </c>
      <c r="J68" s="3">
        <v>889</v>
      </c>
      <c r="K68" s="4">
        <v>43.72</v>
      </c>
      <c r="L68" s="4">
        <f t="shared" si="5"/>
        <v>38867.08</v>
      </c>
      <c r="M68" s="2" t="s">
        <v>188</v>
      </c>
      <c r="N68" s="2" t="s">
        <v>75</v>
      </c>
      <c r="O68" s="2" t="s">
        <v>20</v>
      </c>
      <c r="P68" s="2" t="s">
        <v>400</v>
      </c>
      <c r="Q68" s="2" t="s">
        <v>375</v>
      </c>
      <c r="R68" s="6" t="s">
        <v>189</v>
      </c>
      <c r="S68" s="2" t="s">
        <v>73</v>
      </c>
    </row>
    <row r="69" spans="1:19" x14ac:dyDescent="0.25">
      <c r="A69" s="7" t="s">
        <v>89</v>
      </c>
      <c r="B69" s="7" t="s">
        <v>90</v>
      </c>
      <c r="C69" s="7" t="s">
        <v>91</v>
      </c>
      <c r="D69" s="8">
        <v>3600</v>
      </c>
      <c r="E69" s="9">
        <v>109.25</v>
      </c>
      <c r="F69" s="9">
        <f t="shared" si="4"/>
        <v>393300</v>
      </c>
      <c r="G69" s="7" t="s">
        <v>387</v>
      </c>
      <c r="H69" s="7" t="s">
        <v>92</v>
      </c>
      <c r="I69" s="10">
        <v>11</v>
      </c>
      <c r="J69" s="8">
        <v>3207</v>
      </c>
      <c r="K69" s="9">
        <v>46.08</v>
      </c>
      <c r="L69" s="9">
        <f t="shared" si="5"/>
        <v>147778.56</v>
      </c>
      <c r="M69" s="7" t="s">
        <v>190</v>
      </c>
      <c r="N69" s="7" t="s">
        <v>75</v>
      </c>
      <c r="O69" s="2" t="s">
        <v>377</v>
      </c>
      <c r="P69" s="2" t="s">
        <v>401</v>
      </c>
      <c r="Q69" s="2" t="s">
        <v>378</v>
      </c>
      <c r="R69" s="11" t="s">
        <v>191</v>
      </c>
      <c r="S69" s="2" t="s">
        <v>397</v>
      </c>
    </row>
    <row r="70" spans="1:19" x14ac:dyDescent="0.25">
      <c r="A70" s="2" t="s">
        <v>37</v>
      </c>
      <c r="B70" s="2" t="s">
        <v>38</v>
      </c>
      <c r="C70" s="2" t="s">
        <v>39</v>
      </c>
      <c r="D70" s="3">
        <v>3900</v>
      </c>
      <c r="E70" s="4">
        <v>98.96</v>
      </c>
      <c r="F70" s="4">
        <f t="shared" si="4"/>
        <v>385944</v>
      </c>
      <c r="G70" s="7" t="s">
        <v>391</v>
      </c>
      <c r="H70" s="2" t="s">
        <v>40</v>
      </c>
      <c r="I70" s="5">
        <v>16</v>
      </c>
      <c r="J70" s="3">
        <v>3054</v>
      </c>
      <c r="K70" s="4">
        <v>36.18</v>
      </c>
      <c r="L70" s="4">
        <f t="shared" si="5"/>
        <v>110493.72</v>
      </c>
      <c r="M70" s="2" t="s">
        <v>192</v>
      </c>
      <c r="N70" s="2" t="s">
        <v>75</v>
      </c>
      <c r="O70" s="2" t="s">
        <v>43</v>
      </c>
      <c r="P70" s="7" t="s">
        <v>405</v>
      </c>
      <c r="Q70" s="2" t="s">
        <v>376</v>
      </c>
      <c r="R70" s="6" t="s">
        <v>94</v>
      </c>
      <c r="S70" s="2" t="s">
        <v>397</v>
      </c>
    </row>
    <row r="71" spans="1:19" x14ac:dyDescent="0.25">
      <c r="A71" s="7" t="s">
        <v>45</v>
      </c>
      <c r="B71" s="7" t="s">
        <v>46</v>
      </c>
      <c r="C71" s="7" t="s">
        <v>47</v>
      </c>
      <c r="D71" s="8">
        <v>2750</v>
      </c>
      <c r="E71" s="9">
        <v>134</v>
      </c>
      <c r="F71" s="9">
        <f t="shared" si="4"/>
        <v>368500</v>
      </c>
      <c r="G71" s="2" t="s">
        <v>385</v>
      </c>
      <c r="H71" s="7" t="s">
        <v>48</v>
      </c>
      <c r="I71" s="10">
        <v>12</v>
      </c>
      <c r="J71" s="8">
        <v>1208</v>
      </c>
      <c r="K71" s="9">
        <v>185.16</v>
      </c>
      <c r="L71" s="9">
        <f t="shared" si="5"/>
        <v>223673.28</v>
      </c>
      <c r="M71" s="7" t="s">
        <v>193</v>
      </c>
      <c r="N71" s="7" t="s">
        <v>50</v>
      </c>
      <c r="O71" s="7" t="s">
        <v>85</v>
      </c>
      <c r="P71" s="2" t="s">
        <v>402</v>
      </c>
      <c r="Q71" s="2" t="s">
        <v>376</v>
      </c>
      <c r="R71" s="11" t="s">
        <v>152</v>
      </c>
      <c r="S71" s="7" t="s">
        <v>52</v>
      </c>
    </row>
    <row r="72" spans="1:19" x14ac:dyDescent="0.25">
      <c r="A72" s="2" t="s">
        <v>37</v>
      </c>
      <c r="B72" s="2" t="s">
        <v>38</v>
      </c>
      <c r="C72" s="2" t="s">
        <v>39</v>
      </c>
      <c r="D72" s="3">
        <v>1500</v>
      </c>
      <c r="E72" s="4">
        <v>99.51</v>
      </c>
      <c r="F72" s="4">
        <f t="shared" si="4"/>
        <v>149265</v>
      </c>
      <c r="G72" s="7" t="s">
        <v>391</v>
      </c>
      <c r="H72" s="2" t="s">
        <v>40</v>
      </c>
      <c r="I72" s="5">
        <v>25</v>
      </c>
      <c r="J72" s="3">
        <v>965</v>
      </c>
      <c r="K72" s="4">
        <v>34.54</v>
      </c>
      <c r="L72" s="4">
        <f t="shared" si="5"/>
        <v>33331.1</v>
      </c>
      <c r="M72" s="2" t="s">
        <v>194</v>
      </c>
      <c r="N72" s="2" t="s">
        <v>19</v>
      </c>
      <c r="O72" s="2" t="s">
        <v>85</v>
      </c>
      <c r="P72" s="2" t="s">
        <v>402</v>
      </c>
      <c r="Q72" s="2" t="s">
        <v>376</v>
      </c>
      <c r="R72" s="6" t="s">
        <v>195</v>
      </c>
      <c r="S72" s="2" t="s">
        <v>52</v>
      </c>
    </row>
    <row r="73" spans="1:19" x14ac:dyDescent="0.25">
      <c r="A73" s="7" t="s">
        <v>37</v>
      </c>
      <c r="B73" s="7" t="s">
        <v>38</v>
      </c>
      <c r="C73" s="7" t="s">
        <v>39</v>
      </c>
      <c r="D73" s="8">
        <v>1200</v>
      </c>
      <c r="E73" s="9">
        <v>97.75</v>
      </c>
      <c r="F73" s="9">
        <f t="shared" si="4"/>
        <v>117300</v>
      </c>
      <c r="G73" s="7" t="s">
        <v>391</v>
      </c>
      <c r="H73" s="7" t="s">
        <v>40</v>
      </c>
      <c r="I73" s="10">
        <v>21</v>
      </c>
      <c r="J73" s="8">
        <v>4531</v>
      </c>
      <c r="K73" s="9">
        <v>35.369999999999997</v>
      </c>
      <c r="L73" s="9">
        <f t="shared" si="5"/>
        <v>160261.47</v>
      </c>
      <c r="M73" s="7" t="s">
        <v>196</v>
      </c>
      <c r="N73" s="7" t="s">
        <v>101</v>
      </c>
      <c r="O73" s="7" t="s">
        <v>43</v>
      </c>
      <c r="P73" s="7" t="s">
        <v>405</v>
      </c>
      <c r="Q73" s="2" t="s">
        <v>376</v>
      </c>
      <c r="R73" s="11" t="s">
        <v>197</v>
      </c>
      <c r="S73" s="7" t="s">
        <v>52</v>
      </c>
    </row>
    <row r="74" spans="1:19" x14ac:dyDescent="0.25">
      <c r="A74" s="2" t="s">
        <v>14</v>
      </c>
      <c r="B74" s="2" t="s">
        <v>15</v>
      </c>
      <c r="C74" s="2" t="s">
        <v>16</v>
      </c>
      <c r="D74" s="3">
        <v>2450</v>
      </c>
      <c r="E74" s="4">
        <v>142.6</v>
      </c>
      <c r="F74" s="4">
        <f t="shared" ref="F74:F105" si="6">D74*E74</f>
        <v>349370</v>
      </c>
      <c r="G74" s="2" t="s">
        <v>382</v>
      </c>
      <c r="H74" s="2" t="s">
        <v>17</v>
      </c>
      <c r="I74" s="5">
        <v>10</v>
      </c>
      <c r="J74" s="3">
        <v>1244</v>
      </c>
      <c r="K74" s="4">
        <v>53.66</v>
      </c>
      <c r="L74" s="4">
        <f t="shared" ref="L74:L105" si="7">J74*K74</f>
        <v>66753.039999999994</v>
      </c>
      <c r="M74" s="2" t="s">
        <v>198</v>
      </c>
      <c r="N74" s="2" t="s">
        <v>19</v>
      </c>
      <c r="O74" s="2" t="s">
        <v>85</v>
      </c>
      <c r="P74" s="2" t="s">
        <v>402</v>
      </c>
      <c r="Q74" s="2" t="s">
        <v>376</v>
      </c>
      <c r="R74" s="6" t="s">
        <v>83</v>
      </c>
      <c r="S74" s="2" t="s">
        <v>73</v>
      </c>
    </row>
    <row r="75" spans="1:19" x14ac:dyDescent="0.25">
      <c r="A75" s="7" t="s">
        <v>45</v>
      </c>
      <c r="B75" s="7" t="s">
        <v>46</v>
      </c>
      <c r="C75" s="7" t="s">
        <v>47</v>
      </c>
      <c r="D75" s="8">
        <v>4550</v>
      </c>
      <c r="E75" s="9">
        <v>124.93</v>
      </c>
      <c r="F75" s="9">
        <f t="shared" si="6"/>
        <v>568431.5</v>
      </c>
      <c r="G75" s="2" t="s">
        <v>385</v>
      </c>
      <c r="H75" s="7" t="s">
        <v>48</v>
      </c>
      <c r="I75" s="10">
        <v>34</v>
      </c>
      <c r="J75" s="8">
        <v>3963</v>
      </c>
      <c r="K75" s="9">
        <v>177.62</v>
      </c>
      <c r="L75" s="9">
        <f t="shared" si="7"/>
        <v>703908.06</v>
      </c>
      <c r="M75" s="7" t="s">
        <v>199</v>
      </c>
      <c r="N75" s="7" t="s">
        <v>28</v>
      </c>
      <c r="O75" s="7" t="s">
        <v>43</v>
      </c>
      <c r="P75" s="7" t="s">
        <v>405</v>
      </c>
      <c r="Q75" s="2" t="s">
        <v>376</v>
      </c>
      <c r="R75" s="11" t="s">
        <v>111</v>
      </c>
      <c r="S75" s="7" t="s">
        <v>73</v>
      </c>
    </row>
    <row r="76" spans="1:19" x14ac:dyDescent="0.25">
      <c r="A76" s="2" t="s">
        <v>45</v>
      </c>
      <c r="B76" s="2" t="s">
        <v>46</v>
      </c>
      <c r="C76" s="2" t="s">
        <v>47</v>
      </c>
      <c r="D76" s="3">
        <v>4250</v>
      </c>
      <c r="E76" s="4">
        <v>127.29</v>
      </c>
      <c r="F76" s="4">
        <f t="shared" si="6"/>
        <v>540982.5</v>
      </c>
      <c r="G76" s="2" t="s">
        <v>385</v>
      </c>
      <c r="H76" s="2" t="s">
        <v>48</v>
      </c>
      <c r="I76" s="5">
        <v>38</v>
      </c>
      <c r="J76" s="3">
        <v>1275</v>
      </c>
      <c r="K76" s="4">
        <v>187.01</v>
      </c>
      <c r="L76" s="4">
        <f t="shared" si="7"/>
        <v>238437.75</v>
      </c>
      <c r="M76" s="2" t="s">
        <v>200</v>
      </c>
      <c r="N76" s="2" t="s">
        <v>101</v>
      </c>
      <c r="O76" s="2" t="s">
        <v>43</v>
      </c>
      <c r="P76" s="7" t="s">
        <v>405</v>
      </c>
      <c r="Q76" s="2" t="s">
        <v>376</v>
      </c>
      <c r="R76" s="6" t="s">
        <v>201</v>
      </c>
      <c r="S76" s="2" t="s">
        <v>73</v>
      </c>
    </row>
    <row r="77" spans="1:19" x14ac:dyDescent="0.25">
      <c r="A77" s="7" t="s">
        <v>14</v>
      </c>
      <c r="B77" s="7" t="s">
        <v>15</v>
      </c>
      <c r="C77" s="7" t="s">
        <v>16</v>
      </c>
      <c r="D77" s="8">
        <v>2400</v>
      </c>
      <c r="E77" s="9">
        <v>137.88999999999999</v>
      </c>
      <c r="F77" s="9">
        <f t="shared" si="6"/>
        <v>330935.99999999994</v>
      </c>
      <c r="G77" s="2" t="s">
        <v>382</v>
      </c>
      <c r="H77" s="7" t="s">
        <v>17</v>
      </c>
      <c r="I77" s="10">
        <v>17</v>
      </c>
      <c r="J77" s="8">
        <v>4912</v>
      </c>
      <c r="K77" s="9">
        <v>52.83</v>
      </c>
      <c r="L77" s="9">
        <f t="shared" si="7"/>
        <v>259500.96</v>
      </c>
      <c r="M77" s="7" t="s">
        <v>202</v>
      </c>
      <c r="N77" s="7" t="s">
        <v>50</v>
      </c>
      <c r="O77" s="2" t="s">
        <v>377</v>
      </c>
      <c r="P77" s="2" t="s">
        <v>401</v>
      </c>
      <c r="Q77" s="2" t="s">
        <v>378</v>
      </c>
      <c r="R77" s="11" t="s">
        <v>191</v>
      </c>
      <c r="S77" s="7" t="s">
        <v>44</v>
      </c>
    </row>
    <row r="78" spans="1:19" x14ac:dyDescent="0.25">
      <c r="A78" s="2" t="s">
        <v>106</v>
      </c>
      <c r="B78" s="2" t="s">
        <v>107</v>
      </c>
      <c r="C78" s="2" t="s">
        <v>108</v>
      </c>
      <c r="D78" s="3">
        <v>3050</v>
      </c>
      <c r="E78" s="4">
        <v>199.89</v>
      </c>
      <c r="F78" s="4">
        <f t="shared" si="6"/>
        <v>609664.5</v>
      </c>
      <c r="G78" s="7" t="s">
        <v>386</v>
      </c>
      <c r="H78" s="2" t="s">
        <v>109</v>
      </c>
      <c r="I78" s="5">
        <v>29</v>
      </c>
      <c r="J78" s="3">
        <v>1226</v>
      </c>
      <c r="K78" s="4">
        <v>8.24</v>
      </c>
      <c r="L78" s="4">
        <f t="shared" si="7"/>
        <v>10102.24</v>
      </c>
      <c r="M78" s="2" t="s">
        <v>203</v>
      </c>
      <c r="N78" s="2" t="s">
        <v>75</v>
      </c>
      <c r="O78" s="2" t="s">
        <v>85</v>
      </c>
      <c r="P78" s="2" t="s">
        <v>402</v>
      </c>
      <c r="Q78" s="2" t="s">
        <v>376</v>
      </c>
      <c r="R78" s="6" t="s">
        <v>204</v>
      </c>
      <c r="S78" s="2" t="s">
        <v>73</v>
      </c>
    </row>
    <row r="79" spans="1:19" x14ac:dyDescent="0.25">
      <c r="A79" s="7" t="s">
        <v>14</v>
      </c>
      <c r="B79" s="7" t="s">
        <v>15</v>
      </c>
      <c r="C79" s="7" t="s">
        <v>16</v>
      </c>
      <c r="D79" s="8">
        <v>2900</v>
      </c>
      <c r="E79" s="9">
        <v>135.08000000000001</v>
      </c>
      <c r="F79" s="9">
        <f t="shared" si="6"/>
        <v>391732.00000000006</v>
      </c>
      <c r="G79" s="2" t="s">
        <v>382</v>
      </c>
      <c r="H79" s="7" t="s">
        <v>17</v>
      </c>
      <c r="I79" s="10">
        <v>17</v>
      </c>
      <c r="J79" s="8">
        <v>678</v>
      </c>
      <c r="K79" s="9">
        <v>52.87</v>
      </c>
      <c r="L79" s="9">
        <f t="shared" si="7"/>
        <v>35845.86</v>
      </c>
      <c r="M79" s="7" t="s">
        <v>205</v>
      </c>
      <c r="N79" s="7" t="s">
        <v>101</v>
      </c>
      <c r="O79" s="7" t="s">
        <v>20</v>
      </c>
      <c r="P79" s="2" t="s">
        <v>400</v>
      </c>
      <c r="Q79" s="2" t="s">
        <v>375</v>
      </c>
      <c r="R79" s="11" t="s">
        <v>206</v>
      </c>
      <c r="S79" s="7" t="s">
        <v>52</v>
      </c>
    </row>
    <row r="80" spans="1:19" x14ac:dyDescent="0.25">
      <c r="A80" s="2" t="s">
        <v>89</v>
      </c>
      <c r="B80" s="2" t="s">
        <v>90</v>
      </c>
      <c r="C80" s="2" t="s">
        <v>91</v>
      </c>
      <c r="D80" s="3">
        <v>1950</v>
      </c>
      <c r="E80" s="4">
        <v>110.27</v>
      </c>
      <c r="F80" s="4">
        <f t="shared" si="6"/>
        <v>215026.5</v>
      </c>
      <c r="G80" s="7" t="s">
        <v>387</v>
      </c>
      <c r="H80" s="2" t="s">
        <v>92</v>
      </c>
      <c r="I80" s="5">
        <v>35</v>
      </c>
      <c r="J80" s="3">
        <v>1765</v>
      </c>
      <c r="K80" s="4">
        <v>45.97</v>
      </c>
      <c r="L80" s="4">
        <f t="shared" si="7"/>
        <v>81137.05</v>
      </c>
      <c r="M80" s="2" t="s">
        <v>207</v>
      </c>
      <c r="N80" s="2" t="s">
        <v>101</v>
      </c>
      <c r="O80" s="2" t="s">
        <v>43</v>
      </c>
      <c r="P80" s="7" t="s">
        <v>405</v>
      </c>
      <c r="Q80" s="2" t="s">
        <v>376</v>
      </c>
      <c r="R80" s="6" t="s">
        <v>208</v>
      </c>
      <c r="S80" s="2" t="s">
        <v>52</v>
      </c>
    </row>
    <row r="81" spans="1:19" x14ac:dyDescent="0.25">
      <c r="A81" s="7" t="s">
        <v>37</v>
      </c>
      <c r="B81" s="7" t="s">
        <v>38</v>
      </c>
      <c r="C81" s="7" t="s">
        <v>39</v>
      </c>
      <c r="D81" s="8">
        <v>2550</v>
      </c>
      <c r="E81" s="9">
        <v>98.16</v>
      </c>
      <c r="F81" s="9">
        <f t="shared" si="6"/>
        <v>250308</v>
      </c>
      <c r="G81" s="7" t="s">
        <v>391</v>
      </c>
      <c r="H81" s="7" t="s">
        <v>40</v>
      </c>
      <c r="I81" s="10">
        <v>26</v>
      </c>
      <c r="J81" s="8">
        <v>636</v>
      </c>
      <c r="K81" s="9">
        <v>35.86</v>
      </c>
      <c r="L81" s="9">
        <f t="shared" si="7"/>
        <v>22806.959999999999</v>
      </c>
      <c r="M81" s="7" t="s">
        <v>209</v>
      </c>
      <c r="N81" s="7" t="s">
        <v>101</v>
      </c>
      <c r="O81" s="2" t="s">
        <v>377</v>
      </c>
      <c r="P81" s="2" t="s">
        <v>401</v>
      </c>
      <c r="Q81" s="2" t="s">
        <v>378</v>
      </c>
      <c r="R81" s="11" t="s">
        <v>86</v>
      </c>
      <c r="S81" s="2" t="s">
        <v>397</v>
      </c>
    </row>
    <row r="82" spans="1:19" x14ac:dyDescent="0.25">
      <c r="A82" s="2" t="s">
        <v>53</v>
      </c>
      <c r="B82" s="2" t="s">
        <v>54</v>
      </c>
      <c r="C82" s="2" t="s">
        <v>55</v>
      </c>
      <c r="D82" s="3">
        <v>3950</v>
      </c>
      <c r="E82" s="4">
        <v>87.87</v>
      </c>
      <c r="F82" s="4">
        <f t="shared" si="6"/>
        <v>347086.5</v>
      </c>
      <c r="G82" s="7" t="s">
        <v>389</v>
      </c>
      <c r="H82" s="2" t="s">
        <v>56</v>
      </c>
      <c r="I82" s="5">
        <v>42</v>
      </c>
      <c r="J82" s="3">
        <v>4966</v>
      </c>
      <c r="K82" s="4">
        <v>155.55000000000001</v>
      </c>
      <c r="L82" s="4">
        <f t="shared" si="7"/>
        <v>772461.3</v>
      </c>
      <c r="M82" s="2" t="s">
        <v>210</v>
      </c>
      <c r="N82" s="2" t="s">
        <v>75</v>
      </c>
      <c r="O82" s="2" t="s">
        <v>377</v>
      </c>
      <c r="P82" s="2" t="s">
        <v>401</v>
      </c>
      <c r="Q82" s="2" t="s">
        <v>378</v>
      </c>
      <c r="R82" s="6" t="s">
        <v>211</v>
      </c>
      <c r="S82" s="2" t="s">
        <v>81</v>
      </c>
    </row>
    <row r="83" spans="1:19" x14ac:dyDescent="0.25">
      <c r="A83" s="7" t="s">
        <v>89</v>
      </c>
      <c r="B83" s="7" t="s">
        <v>90</v>
      </c>
      <c r="C83" s="7" t="s">
        <v>91</v>
      </c>
      <c r="D83" s="8">
        <v>1050</v>
      </c>
      <c r="E83" s="9">
        <v>113.32</v>
      </c>
      <c r="F83" s="9">
        <f t="shared" si="6"/>
        <v>118986</v>
      </c>
      <c r="G83" s="7" t="s">
        <v>387</v>
      </c>
      <c r="H83" s="7" t="s">
        <v>92</v>
      </c>
      <c r="I83" s="10">
        <v>28</v>
      </c>
      <c r="J83" s="8">
        <v>4446</v>
      </c>
      <c r="K83" s="9">
        <v>46.6</v>
      </c>
      <c r="L83" s="9">
        <f t="shared" si="7"/>
        <v>207183.6</v>
      </c>
      <c r="M83" s="7" t="s">
        <v>212</v>
      </c>
      <c r="N83" s="7" t="s">
        <v>75</v>
      </c>
      <c r="O83" s="7" t="s">
        <v>43</v>
      </c>
      <c r="P83" s="7" t="s">
        <v>405</v>
      </c>
      <c r="Q83" s="2" t="s">
        <v>376</v>
      </c>
      <c r="R83" s="11" t="s">
        <v>213</v>
      </c>
      <c r="S83" s="7" t="s">
        <v>81</v>
      </c>
    </row>
    <row r="84" spans="1:19" x14ac:dyDescent="0.25">
      <c r="A84" s="2" t="s">
        <v>67</v>
      </c>
      <c r="B84" s="2" t="s">
        <v>68</v>
      </c>
      <c r="C84" s="2" t="s">
        <v>69</v>
      </c>
      <c r="D84" s="3">
        <v>4150</v>
      </c>
      <c r="E84" s="4">
        <v>463.31</v>
      </c>
      <c r="F84" s="4">
        <f t="shared" si="6"/>
        <v>1922736.5</v>
      </c>
      <c r="G84" s="2" t="s">
        <v>390</v>
      </c>
      <c r="H84" s="2" t="s">
        <v>70</v>
      </c>
      <c r="I84" s="5">
        <v>33</v>
      </c>
      <c r="J84" s="3">
        <v>3382</v>
      </c>
      <c r="K84" s="4">
        <v>2495.87</v>
      </c>
      <c r="L84" s="4">
        <f t="shared" si="7"/>
        <v>8441032.3399999999</v>
      </c>
      <c r="M84" s="2" t="s">
        <v>214</v>
      </c>
      <c r="N84" s="2" t="s">
        <v>50</v>
      </c>
      <c r="O84" s="2" t="s">
        <v>20</v>
      </c>
      <c r="P84" s="2" t="s">
        <v>400</v>
      </c>
      <c r="Q84" s="2" t="s">
        <v>375</v>
      </c>
      <c r="R84" s="6" t="s">
        <v>215</v>
      </c>
      <c r="S84" s="2" t="s">
        <v>44</v>
      </c>
    </row>
    <row r="85" spans="1:19" x14ac:dyDescent="0.25">
      <c r="A85" s="7" t="s">
        <v>106</v>
      </c>
      <c r="B85" s="7" t="s">
        <v>107</v>
      </c>
      <c r="C85" s="7" t="s">
        <v>108</v>
      </c>
      <c r="D85" s="8">
        <v>4350</v>
      </c>
      <c r="E85" s="9">
        <v>208.56</v>
      </c>
      <c r="F85" s="9">
        <f t="shared" si="6"/>
        <v>907236</v>
      </c>
      <c r="G85" s="7" t="s">
        <v>386</v>
      </c>
      <c r="H85" s="7" t="s">
        <v>109</v>
      </c>
      <c r="I85" s="10">
        <v>14</v>
      </c>
      <c r="J85" s="8">
        <v>310</v>
      </c>
      <c r="K85" s="9">
        <v>8.5399999999999991</v>
      </c>
      <c r="L85" s="9">
        <f t="shared" si="7"/>
        <v>2647.3999999999996</v>
      </c>
      <c r="M85" s="7" t="s">
        <v>216</v>
      </c>
      <c r="N85" s="7" t="s">
        <v>19</v>
      </c>
      <c r="O85" s="2" t="s">
        <v>377</v>
      </c>
      <c r="P85" s="2" t="s">
        <v>401</v>
      </c>
      <c r="Q85" s="2" t="s">
        <v>378</v>
      </c>
      <c r="R85" s="11" t="s">
        <v>217</v>
      </c>
      <c r="S85" s="7" t="s">
        <v>52</v>
      </c>
    </row>
    <row r="86" spans="1:19" x14ac:dyDescent="0.25">
      <c r="A86" s="2" t="s">
        <v>23</v>
      </c>
      <c r="B86" s="2" t="s">
        <v>24</v>
      </c>
      <c r="C86" s="2" t="s">
        <v>25</v>
      </c>
      <c r="D86" s="3">
        <v>2700</v>
      </c>
      <c r="E86" s="4">
        <v>308.88</v>
      </c>
      <c r="F86" s="4">
        <f t="shared" si="6"/>
        <v>833976</v>
      </c>
      <c r="G86" s="7" t="s">
        <v>383</v>
      </c>
      <c r="H86" s="2" t="s">
        <v>26</v>
      </c>
      <c r="I86" s="5">
        <v>25</v>
      </c>
      <c r="J86" s="3">
        <v>4149</v>
      </c>
      <c r="K86" s="4">
        <v>559.66</v>
      </c>
      <c r="L86" s="4">
        <f t="shared" si="7"/>
        <v>2322029.34</v>
      </c>
      <c r="M86" s="2" t="s">
        <v>218</v>
      </c>
      <c r="N86" s="2" t="s">
        <v>104</v>
      </c>
      <c r="O86" s="2" t="s">
        <v>43</v>
      </c>
      <c r="P86" s="7" t="s">
        <v>405</v>
      </c>
      <c r="Q86" s="2" t="s">
        <v>376</v>
      </c>
      <c r="R86" s="6" t="s">
        <v>219</v>
      </c>
      <c r="S86" s="2" t="s">
        <v>81</v>
      </c>
    </row>
    <row r="87" spans="1:19" x14ac:dyDescent="0.25">
      <c r="A87" s="7" t="s">
        <v>30</v>
      </c>
      <c r="B87" s="7" t="s">
        <v>31</v>
      </c>
      <c r="C87" s="7" t="s">
        <v>32</v>
      </c>
      <c r="D87" s="8">
        <v>4200</v>
      </c>
      <c r="E87" s="9">
        <v>105.21</v>
      </c>
      <c r="F87" s="9">
        <f t="shared" si="6"/>
        <v>441882</v>
      </c>
      <c r="G87" s="2" t="s">
        <v>388</v>
      </c>
      <c r="H87" s="7" t="s">
        <v>33</v>
      </c>
      <c r="I87" s="10">
        <v>37</v>
      </c>
      <c r="J87" s="8">
        <v>2963</v>
      </c>
      <c r="K87" s="9">
        <v>22.42</v>
      </c>
      <c r="L87" s="9">
        <f t="shared" si="7"/>
        <v>66430.460000000006</v>
      </c>
      <c r="M87" s="7" t="s">
        <v>220</v>
      </c>
      <c r="N87" s="7" t="s">
        <v>19</v>
      </c>
      <c r="O87" s="7" t="s">
        <v>35</v>
      </c>
      <c r="P87" s="2" t="s">
        <v>403</v>
      </c>
      <c r="Q87" s="2" t="s">
        <v>376</v>
      </c>
      <c r="R87" s="11" t="s">
        <v>163</v>
      </c>
      <c r="S87" s="7" t="s">
        <v>52</v>
      </c>
    </row>
    <row r="88" spans="1:19" x14ac:dyDescent="0.25">
      <c r="A88" s="2" t="s">
        <v>53</v>
      </c>
      <c r="B88" s="2" t="s">
        <v>54</v>
      </c>
      <c r="C88" s="2" t="s">
        <v>55</v>
      </c>
      <c r="D88" s="3">
        <v>4800</v>
      </c>
      <c r="E88" s="4">
        <v>84.55</v>
      </c>
      <c r="F88" s="4">
        <f t="shared" si="6"/>
        <v>405840</v>
      </c>
      <c r="G88" s="7" t="s">
        <v>389</v>
      </c>
      <c r="H88" s="2" t="s">
        <v>56</v>
      </c>
      <c r="I88" s="5">
        <v>10</v>
      </c>
      <c r="J88" s="3">
        <v>2370</v>
      </c>
      <c r="K88" s="4">
        <v>151.97</v>
      </c>
      <c r="L88" s="4">
        <f t="shared" si="7"/>
        <v>360168.9</v>
      </c>
      <c r="M88" s="2" t="s">
        <v>221</v>
      </c>
      <c r="N88" s="2" t="s">
        <v>75</v>
      </c>
      <c r="O88" s="2" t="s">
        <v>85</v>
      </c>
      <c r="P88" s="2" t="s">
        <v>402</v>
      </c>
      <c r="Q88" s="2" t="s">
        <v>376</v>
      </c>
      <c r="R88" s="6" t="s">
        <v>86</v>
      </c>
      <c r="S88" s="2" t="s">
        <v>52</v>
      </c>
    </row>
    <row r="89" spans="1:19" x14ac:dyDescent="0.25">
      <c r="A89" s="7" t="s">
        <v>30</v>
      </c>
      <c r="B89" s="7" t="s">
        <v>31</v>
      </c>
      <c r="C89" s="7" t="s">
        <v>32</v>
      </c>
      <c r="D89" s="8">
        <v>4250</v>
      </c>
      <c r="E89" s="9">
        <v>107.78</v>
      </c>
      <c r="F89" s="9">
        <f t="shared" si="6"/>
        <v>458065</v>
      </c>
      <c r="G89" s="2" t="s">
        <v>388</v>
      </c>
      <c r="H89" s="7" t="s">
        <v>33</v>
      </c>
      <c r="I89" s="10">
        <v>14</v>
      </c>
      <c r="J89" s="8">
        <v>4632</v>
      </c>
      <c r="K89" s="9">
        <v>21.39</v>
      </c>
      <c r="L89" s="9">
        <f t="shared" si="7"/>
        <v>99078.48</v>
      </c>
      <c r="M89" s="7" t="s">
        <v>222</v>
      </c>
      <c r="N89" s="7" t="s">
        <v>75</v>
      </c>
      <c r="O89" s="7" t="s">
        <v>85</v>
      </c>
      <c r="P89" s="2" t="s">
        <v>402</v>
      </c>
      <c r="Q89" s="2" t="s">
        <v>376</v>
      </c>
      <c r="R89" s="11" t="s">
        <v>72</v>
      </c>
      <c r="S89" s="7" t="s">
        <v>73</v>
      </c>
    </row>
    <row r="90" spans="1:19" x14ac:dyDescent="0.25">
      <c r="A90" s="2" t="s">
        <v>67</v>
      </c>
      <c r="B90" s="2" t="s">
        <v>68</v>
      </c>
      <c r="C90" s="2" t="s">
        <v>69</v>
      </c>
      <c r="D90" s="3">
        <v>3150</v>
      </c>
      <c r="E90" s="4">
        <v>469.64</v>
      </c>
      <c r="F90" s="4">
        <f t="shared" si="6"/>
        <v>1479366</v>
      </c>
      <c r="G90" s="2" t="s">
        <v>390</v>
      </c>
      <c r="H90" s="2" t="s">
        <v>70</v>
      </c>
      <c r="I90" s="5">
        <v>10</v>
      </c>
      <c r="J90" s="3">
        <v>2936</v>
      </c>
      <c r="K90" s="4">
        <v>2592.77</v>
      </c>
      <c r="L90" s="4">
        <f t="shared" si="7"/>
        <v>7612372.7199999997</v>
      </c>
      <c r="M90" s="2" t="s">
        <v>223</v>
      </c>
      <c r="N90" s="2" t="s">
        <v>28</v>
      </c>
      <c r="O90" s="2" t="s">
        <v>377</v>
      </c>
      <c r="P90" s="2" t="s">
        <v>401</v>
      </c>
      <c r="Q90" s="2" t="s">
        <v>378</v>
      </c>
      <c r="R90" s="6" t="s">
        <v>115</v>
      </c>
      <c r="S90" s="2" t="s">
        <v>81</v>
      </c>
    </row>
    <row r="91" spans="1:19" x14ac:dyDescent="0.25">
      <c r="A91" s="7" t="s">
        <v>89</v>
      </c>
      <c r="B91" s="7" t="s">
        <v>90</v>
      </c>
      <c r="C91" s="7" t="s">
        <v>91</v>
      </c>
      <c r="D91" s="8">
        <v>2400</v>
      </c>
      <c r="E91" s="9">
        <v>107.39</v>
      </c>
      <c r="F91" s="9">
        <f t="shared" si="6"/>
        <v>257736</v>
      </c>
      <c r="G91" s="7" t="s">
        <v>387</v>
      </c>
      <c r="H91" s="7" t="s">
        <v>92</v>
      </c>
      <c r="I91" s="10">
        <v>12</v>
      </c>
      <c r="J91" s="8">
        <v>3825</v>
      </c>
      <c r="K91" s="9">
        <v>44.55</v>
      </c>
      <c r="L91" s="9">
        <f t="shared" si="7"/>
        <v>170403.75</v>
      </c>
      <c r="M91" s="7" t="s">
        <v>224</v>
      </c>
      <c r="N91" s="7" t="s">
        <v>42</v>
      </c>
      <c r="O91" s="7" t="s">
        <v>43</v>
      </c>
      <c r="P91" s="7" t="s">
        <v>405</v>
      </c>
      <c r="Q91" s="2" t="s">
        <v>376</v>
      </c>
      <c r="R91" s="11" t="s">
        <v>225</v>
      </c>
      <c r="S91" s="7" t="s">
        <v>52</v>
      </c>
    </row>
    <row r="92" spans="1:19" x14ac:dyDescent="0.25">
      <c r="A92" s="2" t="s">
        <v>45</v>
      </c>
      <c r="B92" s="2" t="s">
        <v>46</v>
      </c>
      <c r="C92" s="2" t="s">
        <v>47</v>
      </c>
      <c r="D92" s="3">
        <v>1300</v>
      </c>
      <c r="E92" s="4">
        <v>128.31</v>
      </c>
      <c r="F92" s="4">
        <f t="shared" si="6"/>
        <v>166803</v>
      </c>
      <c r="G92" s="2" t="s">
        <v>385</v>
      </c>
      <c r="H92" s="2" t="s">
        <v>48</v>
      </c>
      <c r="I92" s="5">
        <v>19</v>
      </c>
      <c r="J92" s="3">
        <v>3537</v>
      </c>
      <c r="K92" s="4">
        <v>186.61</v>
      </c>
      <c r="L92" s="4">
        <f t="shared" si="7"/>
        <v>660039.57000000007</v>
      </c>
      <c r="M92" s="2" t="s">
        <v>226</v>
      </c>
      <c r="N92" s="2" t="s">
        <v>50</v>
      </c>
      <c r="O92" s="2" t="s">
        <v>85</v>
      </c>
      <c r="P92" s="2" t="s">
        <v>402</v>
      </c>
      <c r="Q92" s="2" t="s">
        <v>376</v>
      </c>
      <c r="R92" s="6" t="s">
        <v>169</v>
      </c>
      <c r="S92" s="2" t="s">
        <v>73</v>
      </c>
    </row>
    <row r="93" spans="1:19" x14ac:dyDescent="0.25">
      <c r="A93" s="7" t="s">
        <v>67</v>
      </c>
      <c r="B93" s="7" t="s">
        <v>68</v>
      </c>
      <c r="C93" s="7" t="s">
        <v>69</v>
      </c>
      <c r="D93" s="8">
        <v>4000</v>
      </c>
      <c r="E93" s="9">
        <v>433.34</v>
      </c>
      <c r="F93" s="9">
        <f t="shared" si="6"/>
        <v>1733360</v>
      </c>
      <c r="G93" s="2" t="s">
        <v>390</v>
      </c>
      <c r="H93" s="7" t="s">
        <v>70</v>
      </c>
      <c r="I93" s="10">
        <v>24</v>
      </c>
      <c r="J93" s="8">
        <v>4781</v>
      </c>
      <c r="K93" s="9">
        <v>2452.2600000000002</v>
      </c>
      <c r="L93" s="9">
        <f t="shared" si="7"/>
        <v>11724255.060000001</v>
      </c>
      <c r="M93" s="7" t="s">
        <v>227</v>
      </c>
      <c r="N93" s="7" t="s">
        <v>42</v>
      </c>
      <c r="O93" s="7" t="s">
        <v>85</v>
      </c>
      <c r="P93" s="2" t="s">
        <v>402</v>
      </c>
      <c r="Q93" s="2" t="s">
        <v>376</v>
      </c>
      <c r="R93" s="11" t="s">
        <v>228</v>
      </c>
      <c r="S93" s="7" t="s">
        <v>73</v>
      </c>
    </row>
    <row r="94" spans="1:19" x14ac:dyDescent="0.25">
      <c r="A94" s="2" t="s">
        <v>59</v>
      </c>
      <c r="B94" s="2" t="s">
        <v>60</v>
      </c>
      <c r="C94" s="2" t="s">
        <v>61</v>
      </c>
      <c r="D94" s="3">
        <v>1200</v>
      </c>
      <c r="E94" s="4">
        <v>290.52</v>
      </c>
      <c r="F94" s="4">
        <f t="shared" si="6"/>
        <v>348624</v>
      </c>
      <c r="G94" s="2" t="s">
        <v>384</v>
      </c>
      <c r="H94" s="2" t="s">
        <v>62</v>
      </c>
      <c r="I94" s="5">
        <v>27</v>
      </c>
      <c r="J94" s="3">
        <v>3064</v>
      </c>
      <c r="K94" s="4">
        <v>67.069999999999993</v>
      </c>
      <c r="L94" s="4">
        <f t="shared" si="7"/>
        <v>205502.47999999998</v>
      </c>
      <c r="M94" s="2" t="s">
        <v>229</v>
      </c>
      <c r="N94" s="2" t="s">
        <v>75</v>
      </c>
      <c r="O94" s="2" t="s">
        <v>35</v>
      </c>
      <c r="P94" s="2" t="s">
        <v>403</v>
      </c>
      <c r="Q94" s="2" t="s">
        <v>376</v>
      </c>
      <c r="R94" s="6" t="s">
        <v>230</v>
      </c>
      <c r="S94" s="2" t="s">
        <v>44</v>
      </c>
    </row>
    <row r="95" spans="1:19" x14ac:dyDescent="0.25">
      <c r="A95" s="7" t="s">
        <v>53</v>
      </c>
      <c r="B95" s="7" t="s">
        <v>54</v>
      </c>
      <c r="C95" s="7" t="s">
        <v>55</v>
      </c>
      <c r="D95" s="8">
        <v>3450</v>
      </c>
      <c r="E95" s="9">
        <v>86.03</v>
      </c>
      <c r="F95" s="9">
        <f t="shared" si="6"/>
        <v>296803.5</v>
      </c>
      <c r="G95" s="7" t="s">
        <v>389</v>
      </c>
      <c r="H95" s="7" t="s">
        <v>56</v>
      </c>
      <c r="I95" s="10">
        <v>11</v>
      </c>
      <c r="J95" s="8">
        <v>2054</v>
      </c>
      <c r="K95" s="9">
        <v>145.19999999999999</v>
      </c>
      <c r="L95" s="9">
        <f t="shared" si="7"/>
        <v>298240.8</v>
      </c>
      <c r="M95" s="7" t="s">
        <v>231</v>
      </c>
      <c r="N95" s="7" t="s">
        <v>28</v>
      </c>
      <c r="O95" s="7" t="s">
        <v>43</v>
      </c>
      <c r="P95" s="7" t="s">
        <v>405</v>
      </c>
      <c r="Q95" s="2" t="s">
        <v>376</v>
      </c>
      <c r="R95" s="11" t="s">
        <v>189</v>
      </c>
      <c r="S95" s="7" t="s">
        <v>81</v>
      </c>
    </row>
    <row r="96" spans="1:19" x14ac:dyDescent="0.25">
      <c r="A96" s="2" t="s">
        <v>37</v>
      </c>
      <c r="B96" s="2" t="s">
        <v>38</v>
      </c>
      <c r="C96" s="2" t="s">
        <v>39</v>
      </c>
      <c r="D96" s="3">
        <v>3200</v>
      </c>
      <c r="E96" s="4">
        <v>94.54</v>
      </c>
      <c r="F96" s="4">
        <f t="shared" si="6"/>
        <v>302528</v>
      </c>
      <c r="G96" s="7" t="s">
        <v>391</v>
      </c>
      <c r="H96" s="2" t="s">
        <v>40</v>
      </c>
      <c r="I96" s="5">
        <v>32</v>
      </c>
      <c r="J96" s="3">
        <v>1587</v>
      </c>
      <c r="K96" s="4">
        <v>36.049999999999997</v>
      </c>
      <c r="L96" s="4">
        <f t="shared" si="7"/>
        <v>57211.35</v>
      </c>
      <c r="M96" s="2" t="s">
        <v>232</v>
      </c>
      <c r="N96" s="2" t="s">
        <v>50</v>
      </c>
      <c r="O96" s="2" t="s">
        <v>35</v>
      </c>
      <c r="P96" s="2" t="s">
        <v>403</v>
      </c>
      <c r="Q96" s="2" t="s">
        <v>376</v>
      </c>
      <c r="R96" s="6" t="s">
        <v>233</v>
      </c>
      <c r="S96" s="2" t="s">
        <v>81</v>
      </c>
    </row>
    <row r="97" spans="1:19" x14ac:dyDescent="0.25">
      <c r="A97" s="7" t="s">
        <v>23</v>
      </c>
      <c r="B97" s="7" t="s">
        <v>24</v>
      </c>
      <c r="C97" s="7" t="s">
        <v>25</v>
      </c>
      <c r="D97" s="8">
        <v>3900</v>
      </c>
      <c r="E97" s="9">
        <v>323.73</v>
      </c>
      <c r="F97" s="9">
        <f t="shared" si="6"/>
        <v>1262547</v>
      </c>
      <c r="G97" s="7" t="s">
        <v>383</v>
      </c>
      <c r="H97" s="7" t="s">
        <v>26</v>
      </c>
      <c r="I97" s="10">
        <v>36</v>
      </c>
      <c r="J97" s="8">
        <v>109</v>
      </c>
      <c r="K97" s="9">
        <v>544.78</v>
      </c>
      <c r="L97" s="9">
        <f t="shared" si="7"/>
        <v>59381.02</v>
      </c>
      <c r="M97" s="7" t="s">
        <v>234</v>
      </c>
      <c r="N97" s="7" t="s">
        <v>104</v>
      </c>
      <c r="O97" s="7" t="s">
        <v>85</v>
      </c>
      <c r="P97" s="2" t="s">
        <v>402</v>
      </c>
      <c r="Q97" s="2" t="s">
        <v>376</v>
      </c>
      <c r="R97" s="11" t="s">
        <v>102</v>
      </c>
      <c r="S97" s="7" t="s">
        <v>81</v>
      </c>
    </row>
    <row r="98" spans="1:19" x14ac:dyDescent="0.25">
      <c r="A98" s="2" t="s">
        <v>45</v>
      </c>
      <c r="B98" s="2" t="s">
        <v>46</v>
      </c>
      <c r="C98" s="2" t="s">
        <v>47</v>
      </c>
      <c r="D98" s="3">
        <v>2500</v>
      </c>
      <c r="E98" s="4">
        <v>132.4</v>
      </c>
      <c r="F98" s="4">
        <f t="shared" si="6"/>
        <v>331000</v>
      </c>
      <c r="G98" s="2" t="s">
        <v>385</v>
      </c>
      <c r="H98" s="2" t="s">
        <v>48</v>
      </c>
      <c r="I98" s="5">
        <v>19</v>
      </c>
      <c r="J98" s="3">
        <v>4191</v>
      </c>
      <c r="K98" s="4">
        <v>176.72</v>
      </c>
      <c r="L98" s="4">
        <f t="shared" si="7"/>
        <v>740633.52</v>
      </c>
      <c r="M98" s="2" t="s">
        <v>235</v>
      </c>
      <c r="N98" s="2" t="s">
        <v>28</v>
      </c>
      <c r="O98" s="2" t="s">
        <v>377</v>
      </c>
      <c r="P98" s="2" t="s">
        <v>401</v>
      </c>
      <c r="Q98" s="2" t="s">
        <v>378</v>
      </c>
      <c r="R98" s="6" t="s">
        <v>125</v>
      </c>
      <c r="S98" s="2" t="s">
        <v>81</v>
      </c>
    </row>
    <row r="99" spans="1:19" x14ac:dyDescent="0.25">
      <c r="A99" s="7" t="s">
        <v>37</v>
      </c>
      <c r="B99" s="7" t="s">
        <v>38</v>
      </c>
      <c r="C99" s="7" t="s">
        <v>39</v>
      </c>
      <c r="D99" s="8">
        <v>2850</v>
      </c>
      <c r="E99" s="9">
        <v>97.8</v>
      </c>
      <c r="F99" s="9">
        <f t="shared" si="6"/>
        <v>278730</v>
      </c>
      <c r="G99" s="7" t="s">
        <v>391</v>
      </c>
      <c r="H99" s="7" t="s">
        <v>40</v>
      </c>
      <c r="I99" s="10">
        <v>33</v>
      </c>
      <c r="J99" s="8">
        <v>3057</v>
      </c>
      <c r="K99" s="9">
        <v>35.21</v>
      </c>
      <c r="L99" s="9">
        <f t="shared" si="7"/>
        <v>107636.97</v>
      </c>
      <c r="M99" s="7" t="s">
        <v>236</v>
      </c>
      <c r="N99" s="7" t="s">
        <v>75</v>
      </c>
      <c r="O99" s="2" t="s">
        <v>377</v>
      </c>
      <c r="P99" s="2" t="s">
        <v>401</v>
      </c>
      <c r="Q99" s="2" t="s">
        <v>378</v>
      </c>
      <c r="R99" s="11" t="s">
        <v>237</v>
      </c>
      <c r="S99" s="7" t="s">
        <v>81</v>
      </c>
    </row>
    <row r="100" spans="1:19" x14ac:dyDescent="0.25">
      <c r="A100" s="2" t="s">
        <v>53</v>
      </c>
      <c r="B100" s="2" t="s">
        <v>54</v>
      </c>
      <c r="C100" s="2" t="s">
        <v>55</v>
      </c>
      <c r="D100" s="3">
        <v>3550</v>
      </c>
      <c r="E100" s="4">
        <v>87.13</v>
      </c>
      <c r="F100" s="4">
        <f t="shared" si="6"/>
        <v>309311.5</v>
      </c>
      <c r="G100" s="7" t="s">
        <v>389</v>
      </c>
      <c r="H100" s="2" t="s">
        <v>56</v>
      </c>
      <c r="I100" s="5">
        <v>24</v>
      </c>
      <c r="J100" s="3">
        <v>391</v>
      </c>
      <c r="K100" s="4">
        <v>154.38</v>
      </c>
      <c r="L100" s="4">
        <f t="shared" si="7"/>
        <v>60362.58</v>
      </c>
      <c r="M100" s="2" t="s">
        <v>238</v>
      </c>
      <c r="N100" s="2" t="s">
        <v>75</v>
      </c>
      <c r="O100" s="2" t="s">
        <v>377</v>
      </c>
      <c r="P100" s="2" t="s">
        <v>401</v>
      </c>
      <c r="Q100" s="2" t="s">
        <v>378</v>
      </c>
      <c r="R100" s="6" t="s">
        <v>72</v>
      </c>
      <c r="S100" s="2" t="s">
        <v>81</v>
      </c>
    </row>
    <row r="101" spans="1:19" x14ac:dyDescent="0.25">
      <c r="A101" s="7" t="s">
        <v>37</v>
      </c>
      <c r="B101" s="7" t="s">
        <v>38</v>
      </c>
      <c r="C101" s="7" t="s">
        <v>39</v>
      </c>
      <c r="D101" s="8">
        <v>1600</v>
      </c>
      <c r="E101" s="9">
        <v>91</v>
      </c>
      <c r="F101" s="9">
        <f t="shared" si="6"/>
        <v>145600</v>
      </c>
      <c r="G101" s="7" t="s">
        <v>391</v>
      </c>
      <c r="H101" s="7" t="s">
        <v>40</v>
      </c>
      <c r="I101" s="10">
        <v>17</v>
      </c>
      <c r="J101" s="8">
        <v>202</v>
      </c>
      <c r="K101" s="9">
        <v>35.53</v>
      </c>
      <c r="L101" s="9">
        <f t="shared" si="7"/>
        <v>7177.06</v>
      </c>
      <c r="M101" s="7" t="s">
        <v>239</v>
      </c>
      <c r="N101" s="7" t="s">
        <v>104</v>
      </c>
      <c r="O101" s="2" t="s">
        <v>377</v>
      </c>
      <c r="P101" s="2" t="s">
        <v>401</v>
      </c>
      <c r="Q101" s="2" t="s">
        <v>378</v>
      </c>
      <c r="R101" s="11" t="s">
        <v>240</v>
      </c>
      <c r="S101" s="7" t="s">
        <v>73</v>
      </c>
    </row>
    <row r="102" spans="1:19" x14ac:dyDescent="0.25">
      <c r="A102" s="2" t="s">
        <v>30</v>
      </c>
      <c r="B102" s="2" t="s">
        <v>31</v>
      </c>
      <c r="C102" s="2" t="s">
        <v>32</v>
      </c>
      <c r="D102" s="3">
        <v>1300</v>
      </c>
      <c r="E102" s="4">
        <v>103.28</v>
      </c>
      <c r="F102" s="4">
        <f t="shared" si="6"/>
        <v>134264</v>
      </c>
      <c r="G102" s="2" t="s">
        <v>388</v>
      </c>
      <c r="H102" s="2" t="s">
        <v>33</v>
      </c>
      <c r="I102" s="5">
        <v>36</v>
      </c>
      <c r="J102" s="3">
        <v>4231</v>
      </c>
      <c r="K102" s="4">
        <v>22.59</v>
      </c>
      <c r="L102" s="4">
        <f t="shared" si="7"/>
        <v>95578.29</v>
      </c>
      <c r="M102" s="2" t="s">
        <v>241</v>
      </c>
      <c r="N102" s="2" t="s">
        <v>28</v>
      </c>
      <c r="O102" s="2" t="s">
        <v>43</v>
      </c>
      <c r="P102" s="7" t="s">
        <v>405</v>
      </c>
      <c r="Q102" s="2" t="s">
        <v>376</v>
      </c>
      <c r="R102" s="6" t="s">
        <v>204</v>
      </c>
      <c r="S102" s="2" t="s">
        <v>52</v>
      </c>
    </row>
    <row r="103" spans="1:19" x14ac:dyDescent="0.25">
      <c r="A103" s="7" t="s">
        <v>45</v>
      </c>
      <c r="B103" s="7" t="s">
        <v>46</v>
      </c>
      <c r="C103" s="7" t="s">
        <v>47</v>
      </c>
      <c r="D103" s="8">
        <v>3200</v>
      </c>
      <c r="E103" s="9">
        <v>125.79</v>
      </c>
      <c r="F103" s="9">
        <f t="shared" si="6"/>
        <v>402528</v>
      </c>
      <c r="G103" s="2" t="s">
        <v>385</v>
      </c>
      <c r="H103" s="7" t="s">
        <v>48</v>
      </c>
      <c r="I103" s="10">
        <v>19</v>
      </c>
      <c r="J103" s="8">
        <v>1667</v>
      </c>
      <c r="K103" s="9">
        <v>186.54</v>
      </c>
      <c r="L103" s="9">
        <f t="shared" si="7"/>
        <v>310962.18</v>
      </c>
      <c r="M103" s="7" t="s">
        <v>242</v>
      </c>
      <c r="N103" s="7" t="s">
        <v>75</v>
      </c>
      <c r="O103" s="7" t="s">
        <v>35</v>
      </c>
      <c r="P103" s="2" t="s">
        <v>403</v>
      </c>
      <c r="Q103" s="2" t="s">
        <v>376</v>
      </c>
      <c r="R103" s="11" t="s">
        <v>125</v>
      </c>
      <c r="S103" s="7" t="s">
        <v>73</v>
      </c>
    </row>
    <row r="104" spans="1:19" x14ac:dyDescent="0.25">
      <c r="A104" s="2" t="s">
        <v>53</v>
      </c>
      <c r="B104" s="2" t="s">
        <v>54</v>
      </c>
      <c r="C104" s="2" t="s">
        <v>55</v>
      </c>
      <c r="D104" s="3">
        <v>3500</v>
      </c>
      <c r="E104" s="4">
        <v>85.71</v>
      </c>
      <c r="F104" s="4">
        <f t="shared" si="6"/>
        <v>299985</v>
      </c>
      <c r="G104" s="7" t="s">
        <v>389</v>
      </c>
      <c r="H104" s="2" t="s">
        <v>56</v>
      </c>
      <c r="I104" s="5">
        <v>21</v>
      </c>
      <c r="J104" s="3">
        <v>4930</v>
      </c>
      <c r="K104" s="4">
        <v>146.91999999999999</v>
      </c>
      <c r="L104" s="4">
        <f t="shared" si="7"/>
        <v>724315.6</v>
      </c>
      <c r="M104" s="2" t="s">
        <v>243</v>
      </c>
      <c r="N104" s="2" t="s">
        <v>28</v>
      </c>
      <c r="O104" s="2" t="s">
        <v>35</v>
      </c>
      <c r="P104" s="2" t="s">
        <v>403</v>
      </c>
      <c r="Q104" s="2" t="s">
        <v>376</v>
      </c>
      <c r="R104" s="6" t="s">
        <v>244</v>
      </c>
      <c r="S104" s="2" t="s">
        <v>397</v>
      </c>
    </row>
    <row r="105" spans="1:19" x14ac:dyDescent="0.25">
      <c r="A105" s="7" t="s">
        <v>37</v>
      </c>
      <c r="B105" s="7" t="s">
        <v>38</v>
      </c>
      <c r="C105" s="7" t="s">
        <v>39</v>
      </c>
      <c r="D105" s="8">
        <v>3400</v>
      </c>
      <c r="E105" s="9">
        <v>94.92</v>
      </c>
      <c r="F105" s="9">
        <f t="shared" si="6"/>
        <v>322728</v>
      </c>
      <c r="G105" s="7" t="s">
        <v>391</v>
      </c>
      <c r="H105" s="7" t="s">
        <v>40</v>
      </c>
      <c r="I105" s="10">
        <v>27</v>
      </c>
      <c r="J105" s="8">
        <v>932</v>
      </c>
      <c r="K105" s="9">
        <v>34.729999999999997</v>
      </c>
      <c r="L105" s="9">
        <f t="shared" si="7"/>
        <v>32368.359999999997</v>
      </c>
      <c r="M105" s="7" t="s">
        <v>245</v>
      </c>
      <c r="N105" s="7" t="s">
        <v>75</v>
      </c>
      <c r="O105" s="2" t="s">
        <v>377</v>
      </c>
      <c r="P105" s="2" t="s">
        <v>401</v>
      </c>
      <c r="Q105" s="2" t="s">
        <v>378</v>
      </c>
      <c r="R105" s="11" t="s">
        <v>246</v>
      </c>
      <c r="S105" s="2" t="s">
        <v>397</v>
      </c>
    </row>
    <row r="106" spans="1:19" x14ac:dyDescent="0.25">
      <c r="A106" s="2" t="s">
        <v>53</v>
      </c>
      <c r="B106" s="2" t="s">
        <v>54</v>
      </c>
      <c r="C106" s="2" t="s">
        <v>55</v>
      </c>
      <c r="D106" s="3">
        <v>2600</v>
      </c>
      <c r="E106" s="4">
        <v>88.2</v>
      </c>
      <c r="F106" s="4">
        <f t="shared" ref="F106:F137" si="8">D106*E106</f>
        <v>229320</v>
      </c>
      <c r="G106" s="7" t="s">
        <v>389</v>
      </c>
      <c r="H106" s="2" t="s">
        <v>56</v>
      </c>
      <c r="I106" s="5">
        <v>23</v>
      </c>
      <c r="J106" s="3">
        <v>1539</v>
      </c>
      <c r="K106" s="4">
        <v>152.41999999999999</v>
      </c>
      <c r="L106" s="4">
        <f t="shared" ref="L106:L137" si="9">J106*K106</f>
        <v>234574.37999999998</v>
      </c>
      <c r="M106" s="2" t="s">
        <v>247</v>
      </c>
      <c r="N106" s="2" t="s">
        <v>75</v>
      </c>
      <c r="O106" s="2" t="s">
        <v>35</v>
      </c>
      <c r="P106" s="2" t="s">
        <v>403</v>
      </c>
      <c r="Q106" s="2" t="s">
        <v>376</v>
      </c>
      <c r="R106" s="6" t="s">
        <v>225</v>
      </c>
      <c r="S106" s="2" t="s">
        <v>81</v>
      </c>
    </row>
    <row r="107" spans="1:19" x14ac:dyDescent="0.25">
      <c r="A107" s="7" t="s">
        <v>45</v>
      </c>
      <c r="B107" s="7" t="s">
        <v>46</v>
      </c>
      <c r="C107" s="7" t="s">
        <v>47</v>
      </c>
      <c r="D107" s="8">
        <v>4500</v>
      </c>
      <c r="E107" s="9">
        <v>128.76</v>
      </c>
      <c r="F107" s="9">
        <f t="shared" si="8"/>
        <v>579420</v>
      </c>
      <c r="G107" s="2" t="s">
        <v>385</v>
      </c>
      <c r="H107" s="7" t="s">
        <v>48</v>
      </c>
      <c r="I107" s="10">
        <v>18</v>
      </c>
      <c r="J107" s="8">
        <v>2064</v>
      </c>
      <c r="K107" s="9">
        <v>178.66</v>
      </c>
      <c r="L107" s="9">
        <f t="shared" si="9"/>
        <v>368754.24</v>
      </c>
      <c r="M107" s="7" t="s">
        <v>248</v>
      </c>
      <c r="N107" s="7" t="s">
        <v>50</v>
      </c>
      <c r="O107" s="7" t="s">
        <v>43</v>
      </c>
      <c r="P107" s="7" t="s">
        <v>405</v>
      </c>
      <c r="Q107" s="2" t="s">
        <v>376</v>
      </c>
      <c r="R107" s="11" t="s">
        <v>208</v>
      </c>
      <c r="S107" s="2" t="s">
        <v>397</v>
      </c>
    </row>
    <row r="108" spans="1:19" x14ac:dyDescent="0.25">
      <c r="A108" s="2" t="s">
        <v>67</v>
      </c>
      <c r="B108" s="2" t="s">
        <v>68</v>
      </c>
      <c r="C108" s="2" t="s">
        <v>69</v>
      </c>
      <c r="D108" s="3">
        <v>2100</v>
      </c>
      <c r="E108" s="4">
        <v>448.57</v>
      </c>
      <c r="F108" s="4">
        <f t="shared" si="8"/>
        <v>941997</v>
      </c>
      <c r="G108" s="2" t="s">
        <v>390</v>
      </c>
      <c r="H108" s="2" t="s">
        <v>70</v>
      </c>
      <c r="I108" s="5">
        <v>28</v>
      </c>
      <c r="J108" s="3">
        <v>4370</v>
      </c>
      <c r="K108" s="4">
        <v>2561.21</v>
      </c>
      <c r="L108" s="4">
        <f t="shared" si="9"/>
        <v>11192487.699999999</v>
      </c>
      <c r="M108" s="2" t="s">
        <v>249</v>
      </c>
      <c r="N108" s="2" t="s">
        <v>19</v>
      </c>
      <c r="O108" s="2" t="s">
        <v>377</v>
      </c>
      <c r="P108" s="2" t="s">
        <v>401</v>
      </c>
      <c r="Q108" s="2" t="s">
        <v>378</v>
      </c>
      <c r="R108" s="6" t="s">
        <v>250</v>
      </c>
      <c r="S108" s="2" t="s">
        <v>44</v>
      </c>
    </row>
    <row r="109" spans="1:19" x14ac:dyDescent="0.25">
      <c r="A109" s="7" t="s">
        <v>106</v>
      </c>
      <c r="B109" s="7" t="s">
        <v>107</v>
      </c>
      <c r="C109" s="7" t="s">
        <v>108</v>
      </c>
      <c r="D109" s="8">
        <v>4450</v>
      </c>
      <c r="E109" s="9">
        <v>217.88</v>
      </c>
      <c r="F109" s="9">
        <f t="shared" si="8"/>
        <v>969566</v>
      </c>
      <c r="G109" s="7" t="s">
        <v>386</v>
      </c>
      <c r="H109" s="7" t="s">
        <v>109</v>
      </c>
      <c r="I109" s="10">
        <v>19</v>
      </c>
      <c r="J109" s="8">
        <v>2039</v>
      </c>
      <c r="K109" s="9">
        <v>8.51</v>
      </c>
      <c r="L109" s="9">
        <f t="shared" si="9"/>
        <v>17351.89</v>
      </c>
      <c r="M109" s="7" t="s">
        <v>251</v>
      </c>
      <c r="N109" s="7" t="s">
        <v>28</v>
      </c>
      <c r="O109" s="7" t="s">
        <v>35</v>
      </c>
      <c r="P109" s="2" t="s">
        <v>403</v>
      </c>
      <c r="Q109" s="2" t="s">
        <v>376</v>
      </c>
      <c r="R109" s="11" t="s">
        <v>189</v>
      </c>
      <c r="S109" s="7" t="s">
        <v>52</v>
      </c>
    </row>
    <row r="110" spans="1:19" x14ac:dyDescent="0.25">
      <c r="A110" s="2" t="s">
        <v>14</v>
      </c>
      <c r="B110" s="2" t="s">
        <v>15</v>
      </c>
      <c r="C110" s="2" t="s">
        <v>16</v>
      </c>
      <c r="D110" s="3">
        <v>3350</v>
      </c>
      <c r="E110" s="4">
        <v>137.97999999999999</v>
      </c>
      <c r="F110" s="4">
        <f t="shared" si="8"/>
        <v>462232.99999999994</v>
      </c>
      <c r="G110" s="2" t="s">
        <v>382</v>
      </c>
      <c r="H110" s="2" t="s">
        <v>17</v>
      </c>
      <c r="I110" s="5">
        <v>28</v>
      </c>
      <c r="J110" s="3">
        <v>1796</v>
      </c>
      <c r="K110" s="4">
        <v>56.59</v>
      </c>
      <c r="L110" s="4">
        <f t="shared" si="9"/>
        <v>101635.64</v>
      </c>
      <c r="M110" s="2" t="s">
        <v>252</v>
      </c>
      <c r="N110" s="2" t="s">
        <v>28</v>
      </c>
      <c r="O110" s="2" t="s">
        <v>20</v>
      </c>
      <c r="P110" s="2" t="s">
        <v>400</v>
      </c>
      <c r="Q110" s="2" t="s">
        <v>375</v>
      </c>
      <c r="R110" s="6" t="s">
        <v>246</v>
      </c>
      <c r="S110" s="2" t="s">
        <v>52</v>
      </c>
    </row>
    <row r="111" spans="1:19" x14ac:dyDescent="0.25">
      <c r="A111" s="7" t="s">
        <v>37</v>
      </c>
      <c r="B111" s="7" t="s">
        <v>38</v>
      </c>
      <c r="C111" s="7" t="s">
        <v>39</v>
      </c>
      <c r="D111" s="8">
        <v>2650</v>
      </c>
      <c r="E111" s="9">
        <v>91.22</v>
      </c>
      <c r="F111" s="9">
        <f t="shared" si="8"/>
        <v>241733</v>
      </c>
      <c r="G111" s="7" t="s">
        <v>391</v>
      </c>
      <c r="H111" s="7" t="s">
        <v>40</v>
      </c>
      <c r="I111" s="10">
        <v>35</v>
      </c>
      <c r="J111" s="8">
        <v>3198</v>
      </c>
      <c r="K111" s="9">
        <v>33.82</v>
      </c>
      <c r="L111" s="9">
        <f t="shared" si="9"/>
        <v>108156.36</v>
      </c>
      <c r="M111" s="7" t="s">
        <v>253</v>
      </c>
      <c r="N111" s="7" t="s">
        <v>42</v>
      </c>
      <c r="O111" s="7" t="s">
        <v>20</v>
      </c>
      <c r="P111" s="2" t="s">
        <v>400</v>
      </c>
      <c r="Q111" s="2" t="s">
        <v>375</v>
      </c>
      <c r="R111" s="11" t="s">
        <v>254</v>
      </c>
      <c r="S111" s="7" t="s">
        <v>44</v>
      </c>
    </row>
    <row r="112" spans="1:19" x14ac:dyDescent="0.25">
      <c r="A112" s="2" t="s">
        <v>53</v>
      </c>
      <c r="B112" s="2" t="s">
        <v>54</v>
      </c>
      <c r="C112" s="2" t="s">
        <v>55</v>
      </c>
      <c r="D112" s="3">
        <v>1900</v>
      </c>
      <c r="E112" s="4">
        <v>81.42</v>
      </c>
      <c r="F112" s="4">
        <f t="shared" si="8"/>
        <v>154698</v>
      </c>
      <c r="G112" s="7" t="s">
        <v>389</v>
      </c>
      <c r="H112" s="2" t="s">
        <v>56</v>
      </c>
      <c r="I112" s="5">
        <v>19</v>
      </c>
      <c r="J112" s="3">
        <v>2393</v>
      </c>
      <c r="K112" s="4">
        <v>144.65</v>
      </c>
      <c r="L112" s="4">
        <f t="shared" si="9"/>
        <v>346147.45</v>
      </c>
      <c r="M112" s="2" t="s">
        <v>255</v>
      </c>
      <c r="N112" s="2" t="s">
        <v>28</v>
      </c>
      <c r="O112" s="2" t="s">
        <v>43</v>
      </c>
      <c r="P112" s="7" t="s">
        <v>405</v>
      </c>
      <c r="Q112" s="2" t="s">
        <v>376</v>
      </c>
      <c r="R112" s="6" t="s">
        <v>165</v>
      </c>
      <c r="S112" s="2" t="s">
        <v>73</v>
      </c>
    </row>
    <row r="113" spans="1:19" x14ac:dyDescent="0.25">
      <c r="A113" s="7" t="s">
        <v>30</v>
      </c>
      <c r="B113" s="7" t="s">
        <v>31</v>
      </c>
      <c r="C113" s="7" t="s">
        <v>32</v>
      </c>
      <c r="D113" s="8">
        <v>4050</v>
      </c>
      <c r="E113" s="9">
        <v>110.24</v>
      </c>
      <c r="F113" s="9">
        <f t="shared" si="8"/>
        <v>446472</v>
      </c>
      <c r="G113" s="2" t="s">
        <v>388</v>
      </c>
      <c r="H113" s="7" t="s">
        <v>33</v>
      </c>
      <c r="I113" s="10">
        <v>21</v>
      </c>
      <c r="J113" s="8">
        <v>1358</v>
      </c>
      <c r="K113" s="9">
        <v>22.55</v>
      </c>
      <c r="L113" s="9">
        <f t="shared" si="9"/>
        <v>30622.9</v>
      </c>
      <c r="M113" s="7" t="s">
        <v>256</v>
      </c>
      <c r="N113" s="7" t="s">
        <v>104</v>
      </c>
      <c r="O113" s="7" t="s">
        <v>35</v>
      </c>
      <c r="P113" s="2" t="s">
        <v>403</v>
      </c>
      <c r="Q113" s="2" t="s">
        <v>376</v>
      </c>
      <c r="R113" s="11" t="s">
        <v>257</v>
      </c>
      <c r="S113" s="7" t="s">
        <v>44</v>
      </c>
    </row>
    <row r="114" spans="1:19" x14ac:dyDescent="0.25">
      <c r="A114" s="2" t="s">
        <v>59</v>
      </c>
      <c r="B114" s="2" t="s">
        <v>60</v>
      </c>
      <c r="C114" s="2" t="s">
        <v>61</v>
      </c>
      <c r="D114" s="3">
        <v>1650</v>
      </c>
      <c r="E114" s="4">
        <v>297.92</v>
      </c>
      <c r="F114" s="4">
        <f t="shared" si="8"/>
        <v>491568</v>
      </c>
      <c r="G114" s="2" t="s">
        <v>384</v>
      </c>
      <c r="H114" s="2" t="s">
        <v>62</v>
      </c>
      <c r="I114" s="5">
        <v>17</v>
      </c>
      <c r="J114" s="3">
        <v>2039</v>
      </c>
      <c r="K114" s="4">
        <v>62.91</v>
      </c>
      <c r="L114" s="4">
        <f t="shared" si="9"/>
        <v>128273.48999999999</v>
      </c>
      <c r="M114" s="2" t="s">
        <v>258</v>
      </c>
      <c r="N114" s="2" t="s">
        <v>42</v>
      </c>
      <c r="O114" s="2" t="s">
        <v>85</v>
      </c>
      <c r="P114" s="2" t="s">
        <v>402</v>
      </c>
      <c r="Q114" s="2" t="s">
        <v>376</v>
      </c>
      <c r="R114" s="6" t="s">
        <v>259</v>
      </c>
      <c r="S114" s="2" t="s">
        <v>397</v>
      </c>
    </row>
    <row r="115" spans="1:19" x14ac:dyDescent="0.25">
      <c r="A115" s="7" t="s">
        <v>30</v>
      </c>
      <c r="B115" s="7" t="s">
        <v>31</v>
      </c>
      <c r="C115" s="7" t="s">
        <v>32</v>
      </c>
      <c r="D115" s="8">
        <v>3200</v>
      </c>
      <c r="E115" s="9">
        <v>107.8</v>
      </c>
      <c r="F115" s="9">
        <f t="shared" si="8"/>
        <v>344960</v>
      </c>
      <c r="G115" s="2" t="s">
        <v>388</v>
      </c>
      <c r="H115" s="7" t="s">
        <v>33</v>
      </c>
      <c r="I115" s="10">
        <v>36</v>
      </c>
      <c r="J115" s="8">
        <v>3553</v>
      </c>
      <c r="K115" s="9">
        <v>22.08</v>
      </c>
      <c r="L115" s="9">
        <f t="shared" si="9"/>
        <v>78450.239999999991</v>
      </c>
      <c r="M115" s="7" t="s">
        <v>260</v>
      </c>
      <c r="N115" s="7" t="s">
        <v>28</v>
      </c>
      <c r="O115" s="7" t="s">
        <v>43</v>
      </c>
      <c r="P115" s="7" t="s">
        <v>405</v>
      </c>
      <c r="Q115" s="2" t="s">
        <v>376</v>
      </c>
      <c r="R115" s="11" t="s">
        <v>261</v>
      </c>
      <c r="S115" s="2" t="s">
        <v>397</v>
      </c>
    </row>
    <row r="116" spans="1:19" x14ac:dyDescent="0.25">
      <c r="A116" s="2" t="s">
        <v>23</v>
      </c>
      <c r="B116" s="2" t="s">
        <v>24</v>
      </c>
      <c r="C116" s="2" t="s">
        <v>25</v>
      </c>
      <c r="D116" s="3">
        <v>1050</v>
      </c>
      <c r="E116" s="4">
        <v>335.18</v>
      </c>
      <c r="F116" s="4">
        <f t="shared" si="8"/>
        <v>351939</v>
      </c>
      <c r="G116" s="7" t="s">
        <v>383</v>
      </c>
      <c r="H116" s="2" t="s">
        <v>26</v>
      </c>
      <c r="I116" s="5">
        <v>24</v>
      </c>
      <c r="J116" s="3">
        <v>3022</v>
      </c>
      <c r="K116" s="4">
        <v>531.46</v>
      </c>
      <c r="L116" s="4">
        <f t="shared" si="9"/>
        <v>1606072.12</v>
      </c>
      <c r="M116" s="2" t="s">
        <v>262</v>
      </c>
      <c r="N116" s="2" t="s">
        <v>104</v>
      </c>
      <c r="O116" s="2" t="s">
        <v>35</v>
      </c>
      <c r="P116" s="2" t="s">
        <v>403</v>
      </c>
      <c r="Q116" s="2" t="s">
        <v>376</v>
      </c>
      <c r="R116" s="6" t="s">
        <v>246</v>
      </c>
      <c r="S116" s="2" t="s">
        <v>73</v>
      </c>
    </row>
    <row r="117" spans="1:19" x14ac:dyDescent="0.25">
      <c r="A117" s="7" t="s">
        <v>30</v>
      </c>
      <c r="B117" s="7" t="s">
        <v>31</v>
      </c>
      <c r="C117" s="7" t="s">
        <v>32</v>
      </c>
      <c r="D117" s="8">
        <v>3250</v>
      </c>
      <c r="E117" s="9">
        <v>109.86</v>
      </c>
      <c r="F117" s="9">
        <f t="shared" si="8"/>
        <v>357045</v>
      </c>
      <c r="G117" s="2" t="s">
        <v>388</v>
      </c>
      <c r="H117" s="7" t="s">
        <v>33</v>
      </c>
      <c r="I117" s="10">
        <v>17</v>
      </c>
      <c r="J117" s="8">
        <v>3639</v>
      </c>
      <c r="K117" s="9">
        <v>22.22</v>
      </c>
      <c r="L117" s="9">
        <f t="shared" si="9"/>
        <v>80858.58</v>
      </c>
      <c r="M117" s="7" t="s">
        <v>263</v>
      </c>
      <c r="N117" s="7" t="s">
        <v>28</v>
      </c>
      <c r="O117" s="7" t="s">
        <v>85</v>
      </c>
      <c r="P117" s="2" t="s">
        <v>402</v>
      </c>
      <c r="Q117" s="2" t="s">
        <v>376</v>
      </c>
      <c r="R117" s="11" t="s">
        <v>264</v>
      </c>
      <c r="S117" s="7" t="s">
        <v>52</v>
      </c>
    </row>
    <row r="118" spans="1:19" x14ac:dyDescent="0.25">
      <c r="A118" s="2" t="s">
        <v>59</v>
      </c>
      <c r="B118" s="2" t="s">
        <v>60</v>
      </c>
      <c r="C118" s="2" t="s">
        <v>61</v>
      </c>
      <c r="D118" s="3">
        <v>3950</v>
      </c>
      <c r="E118" s="4">
        <v>282.8</v>
      </c>
      <c r="F118" s="4">
        <f t="shared" si="8"/>
        <v>1117060</v>
      </c>
      <c r="G118" s="2" t="s">
        <v>384</v>
      </c>
      <c r="H118" s="2" t="s">
        <v>62</v>
      </c>
      <c r="I118" s="5">
        <v>18</v>
      </c>
      <c r="J118" s="3">
        <v>3493</v>
      </c>
      <c r="K118" s="4">
        <v>65.959999999999994</v>
      </c>
      <c r="L118" s="4">
        <f t="shared" si="9"/>
        <v>230398.27999999997</v>
      </c>
      <c r="M118" s="2" t="s">
        <v>265</v>
      </c>
      <c r="N118" s="2" t="s">
        <v>50</v>
      </c>
      <c r="O118" s="2" t="s">
        <v>43</v>
      </c>
      <c r="P118" s="7" t="s">
        <v>405</v>
      </c>
      <c r="Q118" s="2" t="s">
        <v>376</v>
      </c>
      <c r="R118" s="6" t="s">
        <v>266</v>
      </c>
      <c r="S118" s="2" t="s">
        <v>397</v>
      </c>
    </row>
    <row r="119" spans="1:19" x14ac:dyDescent="0.25">
      <c r="A119" s="7" t="s">
        <v>53</v>
      </c>
      <c r="B119" s="7" t="s">
        <v>54</v>
      </c>
      <c r="C119" s="7" t="s">
        <v>55</v>
      </c>
      <c r="D119" s="8">
        <v>2000</v>
      </c>
      <c r="E119" s="9">
        <v>84.47</v>
      </c>
      <c r="F119" s="9">
        <f t="shared" si="8"/>
        <v>168940</v>
      </c>
      <c r="G119" s="7" t="s">
        <v>389</v>
      </c>
      <c r="H119" s="7" t="s">
        <v>56</v>
      </c>
      <c r="I119" s="10">
        <v>37</v>
      </c>
      <c r="J119" s="8">
        <v>4140</v>
      </c>
      <c r="K119" s="9">
        <v>149.11000000000001</v>
      </c>
      <c r="L119" s="9">
        <f t="shared" si="9"/>
        <v>617315.4</v>
      </c>
      <c r="M119" s="7" t="s">
        <v>267</v>
      </c>
      <c r="N119" s="7" t="s">
        <v>75</v>
      </c>
      <c r="O119" s="7" t="s">
        <v>20</v>
      </c>
      <c r="P119" s="2" t="s">
        <v>400</v>
      </c>
      <c r="Q119" s="2" t="s">
        <v>375</v>
      </c>
      <c r="R119" s="11" t="s">
        <v>268</v>
      </c>
      <c r="S119" s="7" t="s">
        <v>73</v>
      </c>
    </row>
    <row r="120" spans="1:19" x14ac:dyDescent="0.25">
      <c r="A120" s="2" t="s">
        <v>89</v>
      </c>
      <c r="B120" s="2" t="s">
        <v>90</v>
      </c>
      <c r="C120" s="2" t="s">
        <v>91</v>
      </c>
      <c r="D120" s="3">
        <v>1150</v>
      </c>
      <c r="E120" s="4">
        <v>107.49</v>
      </c>
      <c r="F120" s="4">
        <f t="shared" si="8"/>
        <v>123613.5</v>
      </c>
      <c r="G120" s="7" t="s">
        <v>387</v>
      </c>
      <c r="H120" s="2" t="s">
        <v>92</v>
      </c>
      <c r="I120" s="5">
        <v>20</v>
      </c>
      <c r="J120" s="3">
        <v>3102</v>
      </c>
      <c r="K120" s="4">
        <v>45.2</v>
      </c>
      <c r="L120" s="4">
        <f t="shared" si="9"/>
        <v>140210.40000000002</v>
      </c>
      <c r="M120" s="2" t="s">
        <v>269</v>
      </c>
      <c r="N120" s="2" t="s">
        <v>104</v>
      </c>
      <c r="O120" s="2" t="s">
        <v>35</v>
      </c>
      <c r="P120" s="2" t="s">
        <v>403</v>
      </c>
      <c r="Q120" s="2" t="s">
        <v>376</v>
      </c>
      <c r="R120" s="6" t="s">
        <v>148</v>
      </c>
      <c r="S120" s="2" t="s">
        <v>73</v>
      </c>
    </row>
    <row r="121" spans="1:19" x14ac:dyDescent="0.25">
      <c r="A121" s="7" t="s">
        <v>106</v>
      </c>
      <c r="B121" s="7" t="s">
        <v>107</v>
      </c>
      <c r="C121" s="7" t="s">
        <v>108</v>
      </c>
      <c r="D121" s="8">
        <v>1750</v>
      </c>
      <c r="E121" s="9">
        <v>207.53</v>
      </c>
      <c r="F121" s="9">
        <f t="shared" si="8"/>
        <v>363177.5</v>
      </c>
      <c r="G121" s="7" t="s">
        <v>386</v>
      </c>
      <c r="H121" s="7" t="s">
        <v>109</v>
      </c>
      <c r="I121" s="10">
        <v>15</v>
      </c>
      <c r="J121" s="8">
        <v>738</v>
      </c>
      <c r="K121" s="9">
        <v>8.66</v>
      </c>
      <c r="L121" s="9">
        <f t="shared" si="9"/>
        <v>6391.08</v>
      </c>
      <c r="M121" s="7" t="s">
        <v>270</v>
      </c>
      <c r="N121" s="7" t="s">
        <v>42</v>
      </c>
      <c r="O121" s="2" t="s">
        <v>377</v>
      </c>
      <c r="P121" s="2" t="s">
        <v>401</v>
      </c>
      <c r="Q121" s="2" t="s">
        <v>378</v>
      </c>
      <c r="R121" s="11" t="s">
        <v>29</v>
      </c>
      <c r="S121" s="7" t="s">
        <v>73</v>
      </c>
    </row>
    <row r="122" spans="1:19" x14ac:dyDescent="0.25">
      <c r="A122" s="2" t="s">
        <v>14</v>
      </c>
      <c r="B122" s="2" t="s">
        <v>15</v>
      </c>
      <c r="C122" s="2" t="s">
        <v>16</v>
      </c>
      <c r="D122" s="3">
        <v>4750</v>
      </c>
      <c r="E122" s="4">
        <v>135.79</v>
      </c>
      <c r="F122" s="4">
        <f t="shared" si="8"/>
        <v>645002.5</v>
      </c>
      <c r="G122" s="2" t="s">
        <v>382</v>
      </c>
      <c r="H122" s="2" t="s">
        <v>17</v>
      </c>
      <c r="I122" s="5">
        <v>16</v>
      </c>
      <c r="J122" s="3">
        <v>2147</v>
      </c>
      <c r="K122" s="4">
        <v>57.03</v>
      </c>
      <c r="L122" s="4">
        <f t="shared" si="9"/>
        <v>122443.41</v>
      </c>
      <c r="M122" s="2" t="s">
        <v>271</v>
      </c>
      <c r="N122" s="2" t="s">
        <v>19</v>
      </c>
      <c r="O122" s="2" t="s">
        <v>35</v>
      </c>
      <c r="P122" s="2" t="s">
        <v>403</v>
      </c>
      <c r="Q122" s="2" t="s">
        <v>376</v>
      </c>
      <c r="R122" s="6" t="s">
        <v>80</v>
      </c>
      <c r="S122" s="2" t="s">
        <v>397</v>
      </c>
    </row>
    <row r="123" spans="1:19" x14ac:dyDescent="0.25">
      <c r="A123" s="7" t="s">
        <v>23</v>
      </c>
      <c r="B123" s="7" t="s">
        <v>24</v>
      </c>
      <c r="C123" s="7" t="s">
        <v>25</v>
      </c>
      <c r="D123" s="8">
        <v>1850</v>
      </c>
      <c r="E123" s="9">
        <v>310.83999999999997</v>
      </c>
      <c r="F123" s="9">
        <f t="shared" si="8"/>
        <v>575054</v>
      </c>
      <c r="G123" s="7" t="s">
        <v>383</v>
      </c>
      <c r="H123" s="7" t="s">
        <v>26</v>
      </c>
      <c r="I123" s="10">
        <v>21</v>
      </c>
      <c r="J123" s="8">
        <v>3731</v>
      </c>
      <c r="K123" s="9">
        <v>543.48</v>
      </c>
      <c r="L123" s="9">
        <f t="shared" si="9"/>
        <v>2027723.8800000001</v>
      </c>
      <c r="M123" s="7" t="s">
        <v>272</v>
      </c>
      <c r="N123" s="7" t="s">
        <v>19</v>
      </c>
      <c r="O123" s="7" t="s">
        <v>85</v>
      </c>
      <c r="P123" s="2" t="s">
        <v>402</v>
      </c>
      <c r="Q123" s="2" t="s">
        <v>376</v>
      </c>
      <c r="R123" s="11" t="s">
        <v>273</v>
      </c>
      <c r="S123" s="2" t="s">
        <v>397</v>
      </c>
    </row>
    <row r="124" spans="1:19" x14ac:dyDescent="0.25">
      <c r="A124" s="2" t="s">
        <v>37</v>
      </c>
      <c r="B124" s="2" t="s">
        <v>38</v>
      </c>
      <c r="C124" s="2" t="s">
        <v>39</v>
      </c>
      <c r="D124" s="3">
        <v>3200</v>
      </c>
      <c r="E124" s="4">
        <v>93.7</v>
      </c>
      <c r="F124" s="4">
        <f t="shared" si="8"/>
        <v>299840</v>
      </c>
      <c r="G124" s="7" t="s">
        <v>391</v>
      </c>
      <c r="H124" s="2" t="s">
        <v>40</v>
      </c>
      <c r="I124" s="5">
        <v>17</v>
      </c>
      <c r="J124" s="3">
        <v>2857</v>
      </c>
      <c r="K124" s="4">
        <v>34.03</v>
      </c>
      <c r="L124" s="4">
        <f t="shared" si="9"/>
        <v>97223.71</v>
      </c>
      <c r="M124" s="2" t="s">
        <v>274</v>
      </c>
      <c r="N124" s="2" t="s">
        <v>50</v>
      </c>
      <c r="O124" s="2" t="s">
        <v>20</v>
      </c>
      <c r="P124" s="2" t="s">
        <v>400</v>
      </c>
      <c r="Q124" s="2" t="s">
        <v>375</v>
      </c>
      <c r="R124" s="6" t="s">
        <v>161</v>
      </c>
      <c r="S124" s="2" t="s">
        <v>81</v>
      </c>
    </row>
    <row r="125" spans="1:19" x14ac:dyDescent="0.25">
      <c r="A125" s="7" t="s">
        <v>53</v>
      </c>
      <c r="B125" s="7" t="s">
        <v>54</v>
      </c>
      <c r="C125" s="7" t="s">
        <v>55</v>
      </c>
      <c r="D125" s="8">
        <v>2500</v>
      </c>
      <c r="E125" s="9">
        <v>82.56</v>
      </c>
      <c r="F125" s="9">
        <f t="shared" si="8"/>
        <v>206400</v>
      </c>
      <c r="G125" s="7" t="s">
        <v>389</v>
      </c>
      <c r="H125" s="7" t="s">
        <v>56</v>
      </c>
      <c r="I125" s="10">
        <v>15</v>
      </c>
      <c r="J125" s="8">
        <v>1786</v>
      </c>
      <c r="K125" s="9">
        <v>154.32</v>
      </c>
      <c r="L125" s="9">
        <f t="shared" si="9"/>
        <v>275615.51999999996</v>
      </c>
      <c r="M125" s="7" t="s">
        <v>275</v>
      </c>
      <c r="N125" s="7" t="s">
        <v>104</v>
      </c>
      <c r="O125" s="7" t="s">
        <v>85</v>
      </c>
      <c r="P125" s="2" t="s">
        <v>402</v>
      </c>
      <c r="Q125" s="2" t="s">
        <v>376</v>
      </c>
      <c r="R125" s="11" t="s">
        <v>276</v>
      </c>
      <c r="S125" s="7" t="s">
        <v>73</v>
      </c>
    </row>
    <row r="126" spans="1:19" x14ac:dyDescent="0.25">
      <c r="A126" s="2" t="s">
        <v>37</v>
      </c>
      <c r="B126" s="2" t="s">
        <v>38</v>
      </c>
      <c r="C126" s="2" t="s">
        <v>39</v>
      </c>
      <c r="D126" s="3">
        <v>1800</v>
      </c>
      <c r="E126" s="4">
        <v>97.53</v>
      </c>
      <c r="F126" s="4">
        <f t="shared" si="8"/>
        <v>175554</v>
      </c>
      <c r="G126" s="7" t="s">
        <v>391</v>
      </c>
      <c r="H126" s="2" t="s">
        <v>40</v>
      </c>
      <c r="I126" s="5">
        <v>14</v>
      </c>
      <c r="J126" s="3">
        <v>2775</v>
      </c>
      <c r="K126" s="4">
        <v>35.450000000000003</v>
      </c>
      <c r="L126" s="4">
        <f t="shared" si="9"/>
        <v>98373.750000000015</v>
      </c>
      <c r="M126" s="2" t="s">
        <v>277</v>
      </c>
      <c r="N126" s="2" t="s">
        <v>50</v>
      </c>
      <c r="O126" s="2" t="s">
        <v>377</v>
      </c>
      <c r="P126" s="2" t="s">
        <v>401</v>
      </c>
      <c r="Q126" s="2" t="s">
        <v>378</v>
      </c>
      <c r="R126" s="6" t="s">
        <v>278</v>
      </c>
      <c r="S126" s="2" t="s">
        <v>397</v>
      </c>
    </row>
    <row r="127" spans="1:19" x14ac:dyDescent="0.25">
      <c r="A127" s="7" t="s">
        <v>53</v>
      </c>
      <c r="B127" s="7" t="s">
        <v>54</v>
      </c>
      <c r="C127" s="7" t="s">
        <v>55</v>
      </c>
      <c r="D127" s="8">
        <v>3300</v>
      </c>
      <c r="E127" s="9">
        <v>87.44</v>
      </c>
      <c r="F127" s="9">
        <f t="shared" si="8"/>
        <v>288552</v>
      </c>
      <c r="G127" s="7" t="s">
        <v>389</v>
      </c>
      <c r="H127" s="7" t="s">
        <v>56</v>
      </c>
      <c r="I127" s="10">
        <v>35</v>
      </c>
      <c r="J127" s="8">
        <v>449</v>
      </c>
      <c r="K127" s="9">
        <v>151.12</v>
      </c>
      <c r="L127" s="9">
        <f t="shared" si="9"/>
        <v>67852.88</v>
      </c>
      <c r="M127" s="7" t="s">
        <v>279</v>
      </c>
      <c r="N127" s="7" t="s">
        <v>28</v>
      </c>
      <c r="O127" s="7" t="s">
        <v>85</v>
      </c>
      <c r="P127" s="2" t="s">
        <v>402</v>
      </c>
      <c r="Q127" s="2" t="s">
        <v>376</v>
      </c>
      <c r="R127" s="11" t="s">
        <v>21</v>
      </c>
      <c r="S127" s="7" t="s">
        <v>81</v>
      </c>
    </row>
    <row r="128" spans="1:19" x14ac:dyDescent="0.25">
      <c r="A128" s="2" t="s">
        <v>45</v>
      </c>
      <c r="B128" s="2" t="s">
        <v>46</v>
      </c>
      <c r="C128" s="2" t="s">
        <v>47</v>
      </c>
      <c r="D128" s="3">
        <v>3000</v>
      </c>
      <c r="E128" s="4">
        <v>134.13999999999999</v>
      </c>
      <c r="F128" s="4">
        <f t="shared" si="8"/>
        <v>402419.99999999994</v>
      </c>
      <c r="G128" s="2" t="s">
        <v>385</v>
      </c>
      <c r="H128" s="2" t="s">
        <v>48</v>
      </c>
      <c r="I128" s="5">
        <v>31</v>
      </c>
      <c r="J128" s="3">
        <v>1279</v>
      </c>
      <c r="K128" s="4">
        <v>175.79</v>
      </c>
      <c r="L128" s="4">
        <f t="shared" si="9"/>
        <v>224835.41</v>
      </c>
      <c r="M128" s="2" t="s">
        <v>280</v>
      </c>
      <c r="N128" s="2" t="s">
        <v>19</v>
      </c>
      <c r="O128" s="2" t="s">
        <v>20</v>
      </c>
      <c r="P128" s="2" t="s">
        <v>400</v>
      </c>
      <c r="Q128" s="2" t="s">
        <v>375</v>
      </c>
      <c r="R128" s="6" t="s">
        <v>281</v>
      </c>
      <c r="S128" s="2" t="s">
        <v>44</v>
      </c>
    </row>
    <row r="129" spans="1:19" x14ac:dyDescent="0.25">
      <c r="A129" s="7" t="s">
        <v>14</v>
      </c>
      <c r="B129" s="7" t="s">
        <v>15</v>
      </c>
      <c r="C129" s="7" t="s">
        <v>16</v>
      </c>
      <c r="D129" s="8">
        <v>3350</v>
      </c>
      <c r="E129" s="9">
        <v>133.74</v>
      </c>
      <c r="F129" s="9">
        <f t="shared" si="8"/>
        <v>448029.00000000006</v>
      </c>
      <c r="G129" s="2" t="s">
        <v>382</v>
      </c>
      <c r="H129" s="7" t="s">
        <v>17</v>
      </c>
      <c r="I129" s="10">
        <v>41</v>
      </c>
      <c r="J129" s="8">
        <v>2378</v>
      </c>
      <c r="K129" s="9">
        <v>56.34</v>
      </c>
      <c r="L129" s="9">
        <f t="shared" si="9"/>
        <v>133976.52000000002</v>
      </c>
      <c r="M129" s="7" t="s">
        <v>282</v>
      </c>
      <c r="N129" s="7" t="s">
        <v>101</v>
      </c>
      <c r="O129" s="7" t="s">
        <v>43</v>
      </c>
      <c r="P129" s="7" t="s">
        <v>405</v>
      </c>
      <c r="Q129" s="2" t="s">
        <v>376</v>
      </c>
      <c r="R129" s="11" t="s">
        <v>246</v>
      </c>
      <c r="S129" s="7" t="s">
        <v>81</v>
      </c>
    </row>
    <row r="130" spans="1:19" x14ac:dyDescent="0.25">
      <c r="A130" s="2" t="s">
        <v>53</v>
      </c>
      <c r="B130" s="2" t="s">
        <v>54</v>
      </c>
      <c r="C130" s="2" t="s">
        <v>55</v>
      </c>
      <c r="D130" s="3">
        <v>1950</v>
      </c>
      <c r="E130" s="4">
        <v>85.48</v>
      </c>
      <c r="F130" s="4">
        <f t="shared" si="8"/>
        <v>166686</v>
      </c>
      <c r="G130" s="7" t="s">
        <v>389</v>
      </c>
      <c r="H130" s="2" t="s">
        <v>56</v>
      </c>
      <c r="I130" s="5">
        <v>39</v>
      </c>
      <c r="J130" s="3">
        <v>2872</v>
      </c>
      <c r="K130" s="4">
        <v>147.26</v>
      </c>
      <c r="L130" s="4">
        <f t="shared" si="9"/>
        <v>422930.72</v>
      </c>
      <c r="M130" s="2" t="s">
        <v>283</v>
      </c>
      <c r="N130" s="2" t="s">
        <v>50</v>
      </c>
      <c r="O130" s="2" t="s">
        <v>377</v>
      </c>
      <c r="P130" s="2" t="s">
        <v>401</v>
      </c>
      <c r="Q130" s="2" t="s">
        <v>378</v>
      </c>
      <c r="R130" s="6" t="s">
        <v>219</v>
      </c>
      <c r="S130" s="2" t="s">
        <v>81</v>
      </c>
    </row>
    <row r="131" spans="1:19" x14ac:dyDescent="0.25">
      <c r="A131" s="7" t="s">
        <v>37</v>
      </c>
      <c r="B131" s="7" t="s">
        <v>38</v>
      </c>
      <c r="C131" s="7" t="s">
        <v>39</v>
      </c>
      <c r="D131" s="8">
        <v>3450</v>
      </c>
      <c r="E131" s="9">
        <v>99.38</v>
      </c>
      <c r="F131" s="9">
        <f t="shared" si="8"/>
        <v>342861</v>
      </c>
      <c r="G131" s="7" t="s">
        <v>391</v>
      </c>
      <c r="H131" s="7" t="s">
        <v>40</v>
      </c>
      <c r="I131" s="10">
        <v>37</v>
      </c>
      <c r="J131" s="8">
        <v>1341</v>
      </c>
      <c r="K131" s="9">
        <v>35.619999999999997</v>
      </c>
      <c r="L131" s="9">
        <f t="shared" si="9"/>
        <v>47766.42</v>
      </c>
      <c r="M131" s="7" t="s">
        <v>284</v>
      </c>
      <c r="N131" s="7" t="s">
        <v>50</v>
      </c>
      <c r="O131" s="7" t="s">
        <v>20</v>
      </c>
      <c r="P131" s="2" t="s">
        <v>400</v>
      </c>
      <c r="Q131" s="2" t="s">
        <v>375</v>
      </c>
      <c r="R131" s="11" t="s">
        <v>72</v>
      </c>
      <c r="S131" s="7" t="s">
        <v>81</v>
      </c>
    </row>
    <row r="132" spans="1:19" x14ac:dyDescent="0.25">
      <c r="A132" s="2" t="s">
        <v>53</v>
      </c>
      <c r="B132" s="2" t="s">
        <v>54</v>
      </c>
      <c r="C132" s="2" t="s">
        <v>55</v>
      </c>
      <c r="D132" s="3">
        <v>3100</v>
      </c>
      <c r="E132" s="4">
        <v>85.88</v>
      </c>
      <c r="F132" s="4">
        <f t="shared" si="8"/>
        <v>266228</v>
      </c>
      <c r="G132" s="7" t="s">
        <v>389</v>
      </c>
      <c r="H132" s="2" t="s">
        <v>56</v>
      </c>
      <c r="I132" s="5">
        <v>18</v>
      </c>
      <c r="J132" s="3">
        <v>2285</v>
      </c>
      <c r="K132" s="4">
        <v>154.44</v>
      </c>
      <c r="L132" s="4">
        <f t="shared" si="9"/>
        <v>352895.4</v>
      </c>
      <c r="M132" s="2" t="s">
        <v>285</v>
      </c>
      <c r="N132" s="2" t="s">
        <v>19</v>
      </c>
      <c r="O132" s="2" t="s">
        <v>43</v>
      </c>
      <c r="P132" s="7" t="s">
        <v>405</v>
      </c>
      <c r="Q132" s="2" t="s">
        <v>376</v>
      </c>
      <c r="R132" s="6" t="s">
        <v>217</v>
      </c>
      <c r="S132" s="2" t="s">
        <v>81</v>
      </c>
    </row>
    <row r="133" spans="1:19" x14ac:dyDescent="0.25">
      <c r="A133" s="7" t="s">
        <v>37</v>
      </c>
      <c r="B133" s="7" t="s">
        <v>38</v>
      </c>
      <c r="C133" s="7" t="s">
        <v>39</v>
      </c>
      <c r="D133" s="8">
        <v>4000</v>
      </c>
      <c r="E133" s="9">
        <v>94.41</v>
      </c>
      <c r="F133" s="9">
        <f t="shared" si="8"/>
        <v>377640</v>
      </c>
      <c r="G133" s="7" t="s">
        <v>391</v>
      </c>
      <c r="H133" s="7" t="s">
        <v>40</v>
      </c>
      <c r="I133" s="10">
        <v>39</v>
      </c>
      <c r="J133" s="8">
        <v>183</v>
      </c>
      <c r="K133" s="9">
        <v>36.159999999999997</v>
      </c>
      <c r="L133" s="9">
        <f t="shared" si="9"/>
        <v>6617.28</v>
      </c>
      <c r="M133" s="7" t="s">
        <v>286</v>
      </c>
      <c r="N133" s="7" t="s">
        <v>42</v>
      </c>
      <c r="O133" s="7" t="s">
        <v>43</v>
      </c>
      <c r="P133" s="7" t="s">
        <v>405</v>
      </c>
      <c r="Q133" s="2" t="s">
        <v>376</v>
      </c>
      <c r="R133" s="11" t="s">
        <v>21</v>
      </c>
      <c r="S133" s="7" t="s">
        <v>52</v>
      </c>
    </row>
    <row r="134" spans="1:19" x14ac:dyDescent="0.25">
      <c r="A134" s="2" t="s">
        <v>37</v>
      </c>
      <c r="B134" s="2" t="s">
        <v>38</v>
      </c>
      <c r="C134" s="2" t="s">
        <v>39</v>
      </c>
      <c r="D134" s="3">
        <v>2600</v>
      </c>
      <c r="E134" s="4">
        <v>90.83</v>
      </c>
      <c r="F134" s="4">
        <f t="shared" si="8"/>
        <v>236158</v>
      </c>
      <c r="G134" s="7" t="s">
        <v>391</v>
      </c>
      <c r="H134" s="2" t="s">
        <v>40</v>
      </c>
      <c r="I134" s="5">
        <v>12</v>
      </c>
      <c r="J134" s="3">
        <v>3250</v>
      </c>
      <c r="K134" s="4">
        <v>34.72</v>
      </c>
      <c r="L134" s="4">
        <f t="shared" si="9"/>
        <v>112840</v>
      </c>
      <c r="M134" s="2" t="s">
        <v>287</v>
      </c>
      <c r="N134" s="2" t="s">
        <v>28</v>
      </c>
      <c r="O134" s="2" t="s">
        <v>377</v>
      </c>
      <c r="P134" s="2" t="s">
        <v>401</v>
      </c>
      <c r="Q134" s="2" t="s">
        <v>378</v>
      </c>
      <c r="R134" s="6" t="s">
        <v>266</v>
      </c>
      <c r="S134" s="2" t="s">
        <v>397</v>
      </c>
    </row>
    <row r="135" spans="1:19" x14ac:dyDescent="0.25">
      <c r="A135" s="7" t="s">
        <v>14</v>
      </c>
      <c r="B135" s="7" t="s">
        <v>15</v>
      </c>
      <c r="C135" s="7" t="s">
        <v>16</v>
      </c>
      <c r="D135" s="8">
        <v>3450</v>
      </c>
      <c r="E135" s="9">
        <v>133.9</v>
      </c>
      <c r="F135" s="9">
        <f t="shared" si="8"/>
        <v>461955</v>
      </c>
      <c r="G135" s="2" t="s">
        <v>382</v>
      </c>
      <c r="H135" s="7" t="s">
        <v>17</v>
      </c>
      <c r="I135" s="10">
        <v>24</v>
      </c>
      <c r="J135" s="8">
        <v>4768</v>
      </c>
      <c r="K135" s="9">
        <v>56.02</v>
      </c>
      <c r="L135" s="9">
        <f t="shared" si="9"/>
        <v>267103.35999999999</v>
      </c>
      <c r="M135" s="7" t="s">
        <v>288</v>
      </c>
      <c r="N135" s="7" t="s">
        <v>104</v>
      </c>
      <c r="O135" s="7" t="s">
        <v>20</v>
      </c>
      <c r="P135" s="2" t="s">
        <v>400</v>
      </c>
      <c r="Q135" s="2" t="s">
        <v>375</v>
      </c>
      <c r="R135" s="11" t="s">
        <v>173</v>
      </c>
      <c r="S135" s="7" t="s">
        <v>44</v>
      </c>
    </row>
    <row r="136" spans="1:19" x14ac:dyDescent="0.25">
      <c r="A136" s="2" t="s">
        <v>37</v>
      </c>
      <c r="B136" s="2" t="s">
        <v>38</v>
      </c>
      <c r="C136" s="2" t="s">
        <v>39</v>
      </c>
      <c r="D136" s="3">
        <v>4000</v>
      </c>
      <c r="E136" s="4">
        <v>97.77</v>
      </c>
      <c r="F136" s="4">
        <f t="shared" si="8"/>
        <v>391080</v>
      </c>
      <c r="G136" s="7" t="s">
        <v>391</v>
      </c>
      <c r="H136" s="2" t="s">
        <v>40</v>
      </c>
      <c r="I136" s="5">
        <v>26</v>
      </c>
      <c r="J136" s="3">
        <v>1968</v>
      </c>
      <c r="K136" s="4">
        <v>35.71</v>
      </c>
      <c r="L136" s="4">
        <f t="shared" si="9"/>
        <v>70277.279999999999</v>
      </c>
      <c r="M136" s="2" t="s">
        <v>289</v>
      </c>
      <c r="N136" s="2" t="s">
        <v>50</v>
      </c>
      <c r="O136" s="2" t="s">
        <v>43</v>
      </c>
      <c r="P136" s="7" t="s">
        <v>405</v>
      </c>
      <c r="Q136" s="2" t="s">
        <v>376</v>
      </c>
      <c r="R136" s="6" t="s">
        <v>21</v>
      </c>
      <c r="S136" s="2" t="s">
        <v>73</v>
      </c>
    </row>
    <row r="137" spans="1:19" x14ac:dyDescent="0.25">
      <c r="A137" s="7" t="s">
        <v>106</v>
      </c>
      <c r="B137" s="7" t="s">
        <v>107</v>
      </c>
      <c r="C137" s="7" t="s">
        <v>108</v>
      </c>
      <c r="D137" s="8">
        <v>4650</v>
      </c>
      <c r="E137" s="9">
        <v>203.02</v>
      </c>
      <c r="F137" s="9">
        <f t="shared" si="8"/>
        <v>944043</v>
      </c>
      <c r="G137" s="7" t="s">
        <v>386</v>
      </c>
      <c r="H137" s="7" t="s">
        <v>109</v>
      </c>
      <c r="I137" s="10">
        <v>24</v>
      </c>
      <c r="J137" s="8">
        <v>4957</v>
      </c>
      <c r="K137" s="9">
        <v>8.68</v>
      </c>
      <c r="L137" s="9">
        <f t="shared" si="9"/>
        <v>43026.76</v>
      </c>
      <c r="M137" s="7" t="s">
        <v>290</v>
      </c>
      <c r="N137" s="7" t="s">
        <v>28</v>
      </c>
      <c r="O137" s="2" t="s">
        <v>377</v>
      </c>
      <c r="P137" s="2" t="s">
        <v>401</v>
      </c>
      <c r="Q137" s="2" t="s">
        <v>378</v>
      </c>
      <c r="R137" s="11" t="s">
        <v>278</v>
      </c>
      <c r="S137" s="7" t="s">
        <v>52</v>
      </c>
    </row>
    <row r="138" spans="1:19" x14ac:dyDescent="0.25">
      <c r="A138" s="2" t="s">
        <v>53</v>
      </c>
      <c r="B138" s="2" t="s">
        <v>54</v>
      </c>
      <c r="C138" s="2" t="s">
        <v>55</v>
      </c>
      <c r="D138" s="3">
        <v>1450</v>
      </c>
      <c r="E138" s="4">
        <v>81.69</v>
      </c>
      <c r="F138" s="4">
        <f t="shared" ref="F138:F169" si="10">D138*E138</f>
        <v>118450.5</v>
      </c>
      <c r="G138" s="7" t="s">
        <v>389</v>
      </c>
      <c r="H138" s="2" t="s">
        <v>56</v>
      </c>
      <c r="I138" s="5">
        <v>17</v>
      </c>
      <c r="J138" s="3">
        <v>4745</v>
      </c>
      <c r="K138" s="4">
        <v>151.72</v>
      </c>
      <c r="L138" s="4">
        <f t="shared" ref="L138:L169" si="11">J138*K138</f>
        <v>719911.4</v>
      </c>
      <c r="M138" s="2" t="s">
        <v>291</v>
      </c>
      <c r="N138" s="2" t="s">
        <v>19</v>
      </c>
      <c r="O138" s="2" t="s">
        <v>20</v>
      </c>
      <c r="P138" s="2" t="s">
        <v>400</v>
      </c>
      <c r="Q138" s="2" t="s">
        <v>375</v>
      </c>
      <c r="R138" s="6" t="s">
        <v>21</v>
      </c>
      <c r="S138" s="2" t="s">
        <v>397</v>
      </c>
    </row>
    <row r="139" spans="1:19" x14ac:dyDescent="0.25">
      <c r="A139" s="7" t="s">
        <v>45</v>
      </c>
      <c r="B139" s="7" t="s">
        <v>46</v>
      </c>
      <c r="C139" s="7" t="s">
        <v>47</v>
      </c>
      <c r="D139" s="8">
        <v>2000</v>
      </c>
      <c r="E139" s="9">
        <v>126.44</v>
      </c>
      <c r="F139" s="9">
        <f t="shared" si="10"/>
        <v>252880</v>
      </c>
      <c r="G139" s="2" t="s">
        <v>385</v>
      </c>
      <c r="H139" s="7" t="s">
        <v>48</v>
      </c>
      <c r="I139" s="10">
        <v>24</v>
      </c>
      <c r="J139" s="8">
        <v>3311</v>
      </c>
      <c r="K139" s="9">
        <v>180.04</v>
      </c>
      <c r="L139" s="9">
        <f t="shared" si="11"/>
        <v>596112.43999999994</v>
      </c>
      <c r="M139" s="7" t="s">
        <v>292</v>
      </c>
      <c r="N139" s="7" t="s">
        <v>28</v>
      </c>
      <c r="O139" s="7" t="s">
        <v>35</v>
      </c>
      <c r="P139" s="2" t="s">
        <v>403</v>
      </c>
      <c r="Q139" s="2" t="s">
        <v>376</v>
      </c>
      <c r="R139" s="11" t="s">
        <v>293</v>
      </c>
      <c r="S139" s="7" t="s">
        <v>81</v>
      </c>
    </row>
    <row r="140" spans="1:19" x14ac:dyDescent="0.25">
      <c r="A140" s="2" t="s">
        <v>37</v>
      </c>
      <c r="B140" s="2" t="s">
        <v>38</v>
      </c>
      <c r="C140" s="2" t="s">
        <v>39</v>
      </c>
      <c r="D140" s="3">
        <v>4350</v>
      </c>
      <c r="E140" s="4">
        <v>90.35</v>
      </c>
      <c r="F140" s="4">
        <f t="shared" si="10"/>
        <v>393022.5</v>
      </c>
      <c r="G140" s="7" t="s">
        <v>391</v>
      </c>
      <c r="H140" s="2" t="s">
        <v>40</v>
      </c>
      <c r="I140" s="5">
        <v>36</v>
      </c>
      <c r="J140" s="3">
        <v>3114</v>
      </c>
      <c r="K140" s="4">
        <v>35.380000000000003</v>
      </c>
      <c r="L140" s="4">
        <f t="shared" si="11"/>
        <v>110173.32</v>
      </c>
      <c r="M140" s="2" t="s">
        <v>294</v>
      </c>
      <c r="N140" s="2" t="s">
        <v>75</v>
      </c>
      <c r="O140" s="2" t="s">
        <v>85</v>
      </c>
      <c r="P140" s="2" t="s">
        <v>402</v>
      </c>
      <c r="Q140" s="2" t="s">
        <v>376</v>
      </c>
      <c r="R140" s="6" t="s">
        <v>295</v>
      </c>
      <c r="S140" s="2" t="s">
        <v>397</v>
      </c>
    </row>
    <row r="141" spans="1:19" x14ac:dyDescent="0.25">
      <c r="A141" s="7" t="s">
        <v>89</v>
      </c>
      <c r="B141" s="7" t="s">
        <v>90</v>
      </c>
      <c r="C141" s="7" t="s">
        <v>91</v>
      </c>
      <c r="D141" s="8">
        <v>3400</v>
      </c>
      <c r="E141" s="9">
        <v>105.75</v>
      </c>
      <c r="F141" s="9">
        <f t="shared" si="10"/>
        <v>359550</v>
      </c>
      <c r="G141" s="7" t="s">
        <v>387</v>
      </c>
      <c r="H141" s="7" t="s">
        <v>92</v>
      </c>
      <c r="I141" s="10">
        <v>41</v>
      </c>
      <c r="J141" s="8">
        <v>1398</v>
      </c>
      <c r="K141" s="9">
        <v>46.7</v>
      </c>
      <c r="L141" s="9">
        <f t="shared" si="11"/>
        <v>65286.600000000006</v>
      </c>
      <c r="M141" s="7" t="s">
        <v>296</v>
      </c>
      <c r="N141" s="7" t="s">
        <v>75</v>
      </c>
      <c r="O141" s="7" t="s">
        <v>43</v>
      </c>
      <c r="P141" s="7" t="s">
        <v>405</v>
      </c>
      <c r="Q141" s="2" t="s">
        <v>376</v>
      </c>
      <c r="R141" s="11" t="s">
        <v>297</v>
      </c>
      <c r="S141" s="7" t="s">
        <v>73</v>
      </c>
    </row>
    <row r="142" spans="1:19" x14ac:dyDescent="0.25">
      <c r="A142" s="2" t="s">
        <v>89</v>
      </c>
      <c r="B142" s="2" t="s">
        <v>90</v>
      </c>
      <c r="C142" s="2" t="s">
        <v>91</v>
      </c>
      <c r="D142" s="3">
        <v>2200</v>
      </c>
      <c r="E142" s="4">
        <v>106.09</v>
      </c>
      <c r="F142" s="4">
        <f t="shared" si="10"/>
        <v>233398</v>
      </c>
      <c r="G142" s="7" t="s">
        <v>387</v>
      </c>
      <c r="H142" s="2" t="s">
        <v>92</v>
      </c>
      <c r="I142" s="5">
        <v>30</v>
      </c>
      <c r="J142" s="3">
        <v>2307</v>
      </c>
      <c r="K142" s="4">
        <v>46.47</v>
      </c>
      <c r="L142" s="4">
        <f t="shared" si="11"/>
        <v>107206.29</v>
      </c>
      <c r="M142" s="2" t="s">
        <v>298</v>
      </c>
      <c r="N142" s="2" t="s">
        <v>101</v>
      </c>
      <c r="O142" s="2" t="s">
        <v>85</v>
      </c>
      <c r="P142" s="2" t="s">
        <v>402</v>
      </c>
      <c r="Q142" s="2" t="s">
        <v>376</v>
      </c>
      <c r="R142" s="6" t="s">
        <v>299</v>
      </c>
      <c r="S142" s="2" t="s">
        <v>52</v>
      </c>
    </row>
    <row r="143" spans="1:19" x14ac:dyDescent="0.25">
      <c r="A143" s="7" t="s">
        <v>59</v>
      </c>
      <c r="B143" s="7" t="s">
        <v>60</v>
      </c>
      <c r="C143" s="7" t="s">
        <v>61</v>
      </c>
      <c r="D143" s="8">
        <v>2550</v>
      </c>
      <c r="E143" s="9">
        <v>277.64999999999998</v>
      </c>
      <c r="F143" s="9">
        <f t="shared" si="10"/>
        <v>708007.5</v>
      </c>
      <c r="G143" s="2" t="s">
        <v>384</v>
      </c>
      <c r="H143" s="7" t="s">
        <v>62</v>
      </c>
      <c r="I143" s="10">
        <v>11</v>
      </c>
      <c r="J143" s="8">
        <v>692</v>
      </c>
      <c r="K143" s="9">
        <v>64.67</v>
      </c>
      <c r="L143" s="9">
        <f t="shared" si="11"/>
        <v>44751.64</v>
      </c>
      <c r="M143" s="7" t="s">
        <v>300</v>
      </c>
      <c r="N143" s="7" t="s">
        <v>104</v>
      </c>
      <c r="O143" s="7" t="s">
        <v>43</v>
      </c>
      <c r="P143" s="7" t="s">
        <v>405</v>
      </c>
      <c r="Q143" s="2" t="s">
        <v>376</v>
      </c>
      <c r="R143" s="11" t="s">
        <v>281</v>
      </c>
      <c r="S143" s="7" t="s">
        <v>52</v>
      </c>
    </row>
    <row r="144" spans="1:19" x14ac:dyDescent="0.25">
      <c r="A144" s="2" t="s">
        <v>106</v>
      </c>
      <c r="B144" s="2" t="s">
        <v>107</v>
      </c>
      <c r="C144" s="2" t="s">
        <v>108</v>
      </c>
      <c r="D144" s="3">
        <v>1050</v>
      </c>
      <c r="E144" s="4">
        <v>218.08</v>
      </c>
      <c r="F144" s="4">
        <f t="shared" si="10"/>
        <v>228984</v>
      </c>
      <c r="G144" s="7" t="s">
        <v>386</v>
      </c>
      <c r="H144" s="2" t="s">
        <v>109</v>
      </c>
      <c r="I144" s="5">
        <v>29</v>
      </c>
      <c r="J144" s="3">
        <v>3856</v>
      </c>
      <c r="K144" s="4">
        <v>8.5</v>
      </c>
      <c r="L144" s="4">
        <f t="shared" si="11"/>
        <v>32776</v>
      </c>
      <c r="M144" s="2" t="s">
        <v>301</v>
      </c>
      <c r="N144" s="2" t="s">
        <v>42</v>
      </c>
      <c r="O144" s="2" t="s">
        <v>377</v>
      </c>
      <c r="P144" s="2" t="s">
        <v>401</v>
      </c>
      <c r="Q144" s="2" t="s">
        <v>378</v>
      </c>
      <c r="R144" s="6" t="s">
        <v>264</v>
      </c>
      <c r="S144" s="2" t="s">
        <v>44</v>
      </c>
    </row>
    <row r="145" spans="1:19" x14ac:dyDescent="0.25">
      <c r="A145" s="7" t="s">
        <v>14</v>
      </c>
      <c r="B145" s="7" t="s">
        <v>15</v>
      </c>
      <c r="C145" s="7" t="s">
        <v>16</v>
      </c>
      <c r="D145" s="8">
        <v>4700</v>
      </c>
      <c r="E145" s="9">
        <v>134.29</v>
      </c>
      <c r="F145" s="9">
        <f t="shared" si="10"/>
        <v>631163</v>
      </c>
      <c r="G145" s="2" t="s">
        <v>382</v>
      </c>
      <c r="H145" s="7" t="s">
        <v>17</v>
      </c>
      <c r="I145" s="10">
        <v>32</v>
      </c>
      <c r="J145" s="8">
        <v>3470</v>
      </c>
      <c r="K145" s="9">
        <v>55.71</v>
      </c>
      <c r="L145" s="9">
        <f t="shared" si="11"/>
        <v>193313.7</v>
      </c>
      <c r="M145" s="7" t="s">
        <v>302</v>
      </c>
      <c r="N145" s="7" t="s">
        <v>42</v>
      </c>
      <c r="O145" s="7" t="s">
        <v>20</v>
      </c>
      <c r="P145" s="2" t="s">
        <v>400</v>
      </c>
      <c r="Q145" s="2" t="s">
        <v>375</v>
      </c>
      <c r="R145" s="11" t="s">
        <v>303</v>
      </c>
      <c r="S145" s="7" t="s">
        <v>44</v>
      </c>
    </row>
    <row r="146" spans="1:19" x14ac:dyDescent="0.25">
      <c r="A146" s="2" t="s">
        <v>37</v>
      </c>
      <c r="B146" s="2" t="s">
        <v>38</v>
      </c>
      <c r="C146" s="2" t="s">
        <v>39</v>
      </c>
      <c r="D146" s="3">
        <v>1700</v>
      </c>
      <c r="E146" s="4">
        <v>91.38</v>
      </c>
      <c r="F146" s="4">
        <f t="shared" si="10"/>
        <v>155346</v>
      </c>
      <c r="G146" s="7" t="s">
        <v>391</v>
      </c>
      <c r="H146" s="2" t="s">
        <v>40</v>
      </c>
      <c r="I146" s="5">
        <v>28</v>
      </c>
      <c r="J146" s="3">
        <v>529</v>
      </c>
      <c r="K146" s="4">
        <v>35.659999999999997</v>
      </c>
      <c r="L146" s="4">
        <f t="shared" si="11"/>
        <v>18864.14</v>
      </c>
      <c r="M146" s="2" t="s">
        <v>304</v>
      </c>
      <c r="N146" s="2" t="s">
        <v>28</v>
      </c>
      <c r="O146" s="2" t="s">
        <v>20</v>
      </c>
      <c r="P146" s="2" t="s">
        <v>400</v>
      </c>
      <c r="Q146" s="2" t="s">
        <v>375</v>
      </c>
      <c r="R146" s="6" t="s">
        <v>264</v>
      </c>
      <c r="S146" s="2" t="s">
        <v>73</v>
      </c>
    </row>
    <row r="147" spans="1:19" x14ac:dyDescent="0.25">
      <c r="A147" s="7" t="s">
        <v>23</v>
      </c>
      <c r="B147" s="7" t="s">
        <v>24</v>
      </c>
      <c r="C147" s="7" t="s">
        <v>25</v>
      </c>
      <c r="D147" s="8">
        <v>3150</v>
      </c>
      <c r="E147" s="9">
        <v>322.16000000000003</v>
      </c>
      <c r="F147" s="9">
        <f t="shared" si="10"/>
        <v>1014804.0000000001</v>
      </c>
      <c r="G147" s="7" t="s">
        <v>383</v>
      </c>
      <c r="H147" s="7" t="s">
        <v>26</v>
      </c>
      <c r="I147" s="10">
        <v>25</v>
      </c>
      <c r="J147" s="8">
        <v>2586</v>
      </c>
      <c r="K147" s="9">
        <v>555.88</v>
      </c>
      <c r="L147" s="9">
        <f t="shared" si="11"/>
        <v>1437505.68</v>
      </c>
      <c r="M147" s="7" t="s">
        <v>305</v>
      </c>
      <c r="N147" s="7" t="s">
        <v>75</v>
      </c>
      <c r="O147" s="2" t="s">
        <v>377</v>
      </c>
      <c r="P147" s="2" t="s">
        <v>401</v>
      </c>
      <c r="Q147" s="2" t="s">
        <v>378</v>
      </c>
      <c r="R147" s="11" t="s">
        <v>154</v>
      </c>
      <c r="S147" s="2" t="s">
        <v>397</v>
      </c>
    </row>
    <row r="148" spans="1:19" x14ac:dyDescent="0.25">
      <c r="A148" s="2" t="s">
        <v>45</v>
      </c>
      <c r="B148" s="2" t="s">
        <v>46</v>
      </c>
      <c r="C148" s="2" t="s">
        <v>47</v>
      </c>
      <c r="D148" s="3">
        <v>3850</v>
      </c>
      <c r="E148" s="4">
        <v>124.21</v>
      </c>
      <c r="F148" s="4">
        <f t="shared" si="10"/>
        <v>478208.5</v>
      </c>
      <c r="G148" s="2" t="s">
        <v>385</v>
      </c>
      <c r="H148" s="2" t="s">
        <v>48</v>
      </c>
      <c r="I148" s="5">
        <v>25</v>
      </c>
      <c r="J148" s="3">
        <v>189</v>
      </c>
      <c r="K148" s="4">
        <v>179.04</v>
      </c>
      <c r="L148" s="4">
        <f t="shared" si="11"/>
        <v>33838.559999999998</v>
      </c>
      <c r="M148" s="2" t="s">
        <v>306</v>
      </c>
      <c r="N148" s="2" t="s">
        <v>75</v>
      </c>
      <c r="O148" s="2" t="s">
        <v>377</v>
      </c>
      <c r="P148" s="2" t="s">
        <v>401</v>
      </c>
      <c r="Q148" s="2" t="s">
        <v>378</v>
      </c>
      <c r="R148" s="6" t="s">
        <v>213</v>
      </c>
      <c r="S148" s="2" t="s">
        <v>73</v>
      </c>
    </row>
    <row r="149" spans="1:19" x14ac:dyDescent="0.25">
      <c r="A149" s="7" t="s">
        <v>23</v>
      </c>
      <c r="B149" s="7" t="s">
        <v>24</v>
      </c>
      <c r="C149" s="7" t="s">
        <v>25</v>
      </c>
      <c r="D149" s="8">
        <v>2950</v>
      </c>
      <c r="E149" s="9">
        <v>316.25</v>
      </c>
      <c r="F149" s="9">
        <f t="shared" si="10"/>
        <v>932937.5</v>
      </c>
      <c r="G149" s="7" t="s">
        <v>383</v>
      </c>
      <c r="H149" s="7" t="s">
        <v>26</v>
      </c>
      <c r="I149" s="10">
        <v>15</v>
      </c>
      <c r="J149" s="8">
        <v>4139</v>
      </c>
      <c r="K149" s="9">
        <v>533.03</v>
      </c>
      <c r="L149" s="9">
        <f t="shared" si="11"/>
        <v>2206211.17</v>
      </c>
      <c r="M149" s="7" t="s">
        <v>307</v>
      </c>
      <c r="N149" s="7" t="s">
        <v>42</v>
      </c>
      <c r="O149" s="7" t="s">
        <v>35</v>
      </c>
      <c r="P149" s="2" t="s">
        <v>403</v>
      </c>
      <c r="Q149" s="2" t="s">
        <v>376</v>
      </c>
      <c r="R149" s="11" t="s">
        <v>211</v>
      </c>
      <c r="S149" s="7" t="s">
        <v>81</v>
      </c>
    </row>
    <row r="150" spans="1:19" x14ac:dyDescent="0.25">
      <c r="A150" s="2" t="s">
        <v>30</v>
      </c>
      <c r="B150" s="2" t="s">
        <v>31</v>
      </c>
      <c r="C150" s="2" t="s">
        <v>32</v>
      </c>
      <c r="D150" s="3">
        <v>1300</v>
      </c>
      <c r="E150" s="4">
        <v>107.97</v>
      </c>
      <c r="F150" s="4">
        <f t="shared" si="10"/>
        <v>140361</v>
      </c>
      <c r="G150" s="2" t="s">
        <v>388</v>
      </c>
      <c r="H150" s="2" t="s">
        <v>33</v>
      </c>
      <c r="I150" s="5">
        <v>24</v>
      </c>
      <c r="J150" s="3">
        <v>1977</v>
      </c>
      <c r="K150" s="4">
        <v>22.02</v>
      </c>
      <c r="L150" s="4">
        <f t="shared" si="11"/>
        <v>43533.54</v>
      </c>
      <c r="M150" s="2" t="s">
        <v>308</v>
      </c>
      <c r="N150" s="2" t="s">
        <v>50</v>
      </c>
      <c r="O150" s="2" t="s">
        <v>35</v>
      </c>
      <c r="P150" s="2" t="s">
        <v>403</v>
      </c>
      <c r="Q150" s="2" t="s">
        <v>376</v>
      </c>
      <c r="R150" s="6" t="s">
        <v>309</v>
      </c>
      <c r="S150" s="2" t="s">
        <v>44</v>
      </c>
    </row>
    <row r="151" spans="1:19" x14ac:dyDescent="0.25">
      <c r="A151" s="7" t="s">
        <v>45</v>
      </c>
      <c r="B151" s="7" t="s">
        <v>46</v>
      </c>
      <c r="C151" s="7" t="s">
        <v>47</v>
      </c>
      <c r="D151" s="8">
        <v>1250</v>
      </c>
      <c r="E151" s="9">
        <v>133.9</v>
      </c>
      <c r="F151" s="9">
        <f t="shared" si="10"/>
        <v>167375</v>
      </c>
      <c r="G151" s="2" t="s">
        <v>385</v>
      </c>
      <c r="H151" s="7" t="s">
        <v>48</v>
      </c>
      <c r="I151" s="10">
        <v>25</v>
      </c>
      <c r="J151" s="8">
        <v>1569</v>
      </c>
      <c r="K151" s="9">
        <v>183.43</v>
      </c>
      <c r="L151" s="9">
        <f t="shared" si="11"/>
        <v>287801.67</v>
      </c>
      <c r="M151" s="7" t="s">
        <v>310</v>
      </c>
      <c r="N151" s="7" t="s">
        <v>75</v>
      </c>
      <c r="O151" s="7" t="s">
        <v>43</v>
      </c>
      <c r="P151" s="7" t="s">
        <v>405</v>
      </c>
      <c r="Q151" s="2" t="s">
        <v>376</v>
      </c>
      <c r="R151" s="11" t="s">
        <v>311</v>
      </c>
      <c r="S151" s="7" t="s">
        <v>81</v>
      </c>
    </row>
    <row r="152" spans="1:19" x14ac:dyDescent="0.25">
      <c r="A152" s="2" t="s">
        <v>67</v>
      </c>
      <c r="B152" s="2" t="s">
        <v>68</v>
      </c>
      <c r="C152" s="2" t="s">
        <v>69</v>
      </c>
      <c r="D152" s="3">
        <v>1850</v>
      </c>
      <c r="E152" s="4">
        <v>441.19</v>
      </c>
      <c r="F152" s="4">
        <f t="shared" si="10"/>
        <v>816201.5</v>
      </c>
      <c r="G152" s="2" t="s">
        <v>390</v>
      </c>
      <c r="H152" s="2" t="s">
        <v>70</v>
      </c>
      <c r="I152" s="5">
        <v>37</v>
      </c>
      <c r="J152" s="3">
        <v>4178</v>
      </c>
      <c r="K152" s="4">
        <v>2406.64</v>
      </c>
      <c r="L152" s="4">
        <f t="shared" si="11"/>
        <v>10054941.92</v>
      </c>
      <c r="M152" s="2" t="s">
        <v>312</v>
      </c>
      <c r="N152" s="2" t="s">
        <v>101</v>
      </c>
      <c r="O152" s="2" t="s">
        <v>85</v>
      </c>
      <c r="P152" s="2" t="s">
        <v>402</v>
      </c>
      <c r="Q152" s="2" t="s">
        <v>376</v>
      </c>
      <c r="R152" s="6" t="s">
        <v>66</v>
      </c>
      <c r="S152" s="2" t="s">
        <v>81</v>
      </c>
    </row>
    <row r="153" spans="1:19" x14ac:dyDescent="0.25">
      <c r="A153" s="7" t="s">
        <v>59</v>
      </c>
      <c r="B153" s="7" t="s">
        <v>60</v>
      </c>
      <c r="C153" s="7" t="s">
        <v>61</v>
      </c>
      <c r="D153" s="8">
        <v>2550</v>
      </c>
      <c r="E153" s="9">
        <v>302.24</v>
      </c>
      <c r="F153" s="9">
        <f t="shared" si="10"/>
        <v>770712</v>
      </c>
      <c r="G153" s="2" t="s">
        <v>384</v>
      </c>
      <c r="H153" s="7" t="s">
        <v>62</v>
      </c>
      <c r="I153" s="10">
        <v>22</v>
      </c>
      <c r="J153" s="8">
        <v>1138</v>
      </c>
      <c r="K153" s="9">
        <v>65.819999999999993</v>
      </c>
      <c r="L153" s="9">
        <f t="shared" si="11"/>
        <v>74903.159999999989</v>
      </c>
      <c r="M153" s="7" t="s">
        <v>313</v>
      </c>
      <c r="N153" s="7" t="s">
        <v>42</v>
      </c>
      <c r="O153" s="7" t="s">
        <v>20</v>
      </c>
      <c r="P153" s="2" t="s">
        <v>400</v>
      </c>
      <c r="Q153" s="2" t="s">
        <v>375</v>
      </c>
      <c r="R153" s="11" t="s">
        <v>113</v>
      </c>
      <c r="S153" s="7" t="s">
        <v>73</v>
      </c>
    </row>
    <row r="154" spans="1:19" x14ac:dyDescent="0.25">
      <c r="A154" s="2" t="s">
        <v>89</v>
      </c>
      <c r="B154" s="2" t="s">
        <v>90</v>
      </c>
      <c r="C154" s="2" t="s">
        <v>91</v>
      </c>
      <c r="D154" s="3">
        <v>1550</v>
      </c>
      <c r="E154" s="4">
        <v>114.98</v>
      </c>
      <c r="F154" s="4">
        <f t="shared" si="10"/>
        <v>178219</v>
      </c>
      <c r="G154" s="7" t="s">
        <v>387</v>
      </c>
      <c r="H154" s="2" t="s">
        <v>92</v>
      </c>
      <c r="I154" s="5">
        <v>29</v>
      </c>
      <c r="J154" s="3">
        <v>971</v>
      </c>
      <c r="K154" s="4">
        <v>46.57</v>
      </c>
      <c r="L154" s="4">
        <f t="shared" si="11"/>
        <v>45219.47</v>
      </c>
      <c r="M154" s="2" t="s">
        <v>314</v>
      </c>
      <c r="N154" s="2" t="s">
        <v>19</v>
      </c>
      <c r="O154" s="2" t="s">
        <v>35</v>
      </c>
      <c r="P154" s="2" t="s">
        <v>403</v>
      </c>
      <c r="Q154" s="2" t="s">
        <v>376</v>
      </c>
      <c r="R154" s="6" t="s">
        <v>96</v>
      </c>
      <c r="S154" s="2" t="s">
        <v>81</v>
      </c>
    </row>
    <row r="155" spans="1:19" x14ac:dyDescent="0.25">
      <c r="A155" s="7" t="s">
        <v>53</v>
      </c>
      <c r="B155" s="7" t="s">
        <v>54</v>
      </c>
      <c r="C155" s="7" t="s">
        <v>55</v>
      </c>
      <c r="D155" s="8">
        <v>4400</v>
      </c>
      <c r="E155" s="9">
        <v>81.099999999999994</v>
      </c>
      <c r="F155" s="9">
        <f t="shared" si="10"/>
        <v>356840</v>
      </c>
      <c r="G155" s="7" t="s">
        <v>389</v>
      </c>
      <c r="H155" s="7" t="s">
        <v>56</v>
      </c>
      <c r="I155" s="10">
        <v>30</v>
      </c>
      <c r="J155" s="8">
        <v>644</v>
      </c>
      <c r="K155" s="9">
        <v>147.1</v>
      </c>
      <c r="L155" s="9">
        <f t="shared" si="11"/>
        <v>94732.4</v>
      </c>
      <c r="M155" s="7" t="s">
        <v>315</v>
      </c>
      <c r="N155" s="7" t="s">
        <v>19</v>
      </c>
      <c r="O155" s="7" t="s">
        <v>85</v>
      </c>
      <c r="P155" s="2" t="s">
        <v>402</v>
      </c>
      <c r="Q155" s="2" t="s">
        <v>376</v>
      </c>
      <c r="R155" s="11" t="s">
        <v>178</v>
      </c>
      <c r="S155" s="7" t="s">
        <v>52</v>
      </c>
    </row>
    <row r="156" spans="1:19" x14ac:dyDescent="0.25">
      <c r="A156" s="2" t="s">
        <v>67</v>
      </c>
      <c r="B156" s="2" t="s">
        <v>68</v>
      </c>
      <c r="C156" s="2" t="s">
        <v>69</v>
      </c>
      <c r="D156" s="3">
        <v>1850</v>
      </c>
      <c r="E156" s="4">
        <v>457.59</v>
      </c>
      <c r="F156" s="4">
        <f t="shared" si="10"/>
        <v>846541.5</v>
      </c>
      <c r="G156" s="2" t="s">
        <v>390</v>
      </c>
      <c r="H156" s="2" t="s">
        <v>70</v>
      </c>
      <c r="I156" s="5">
        <v>38</v>
      </c>
      <c r="J156" s="3">
        <v>1578</v>
      </c>
      <c r="K156" s="4">
        <v>2572.27</v>
      </c>
      <c r="L156" s="4">
        <f t="shared" si="11"/>
        <v>4059042.06</v>
      </c>
      <c r="M156" s="2" t="s">
        <v>316</v>
      </c>
      <c r="N156" s="2" t="s">
        <v>50</v>
      </c>
      <c r="O156" s="2" t="s">
        <v>85</v>
      </c>
      <c r="P156" s="2" t="s">
        <v>402</v>
      </c>
      <c r="Q156" s="2" t="s">
        <v>376</v>
      </c>
      <c r="R156" s="6" t="s">
        <v>317</v>
      </c>
      <c r="S156" s="2" t="s">
        <v>44</v>
      </c>
    </row>
    <row r="157" spans="1:19" x14ac:dyDescent="0.25">
      <c r="A157" s="7" t="s">
        <v>30</v>
      </c>
      <c r="B157" s="7" t="s">
        <v>31</v>
      </c>
      <c r="C157" s="7" t="s">
        <v>32</v>
      </c>
      <c r="D157" s="8">
        <v>4000</v>
      </c>
      <c r="E157" s="9">
        <v>108.01</v>
      </c>
      <c r="F157" s="9">
        <f t="shared" si="10"/>
        <v>432040</v>
      </c>
      <c r="G157" s="2" t="s">
        <v>388</v>
      </c>
      <c r="H157" s="7" t="s">
        <v>33</v>
      </c>
      <c r="I157" s="10">
        <v>17</v>
      </c>
      <c r="J157" s="8">
        <v>2395</v>
      </c>
      <c r="K157" s="9">
        <v>21.41</v>
      </c>
      <c r="L157" s="9">
        <f t="shared" si="11"/>
        <v>51276.95</v>
      </c>
      <c r="M157" s="7" t="s">
        <v>318</v>
      </c>
      <c r="N157" s="7" t="s">
        <v>28</v>
      </c>
      <c r="O157" s="7" t="s">
        <v>85</v>
      </c>
      <c r="P157" s="2" t="s">
        <v>402</v>
      </c>
      <c r="Q157" s="2" t="s">
        <v>376</v>
      </c>
      <c r="R157" s="11" t="s">
        <v>309</v>
      </c>
      <c r="S157" s="7" t="s">
        <v>73</v>
      </c>
    </row>
    <row r="158" spans="1:19" x14ac:dyDescent="0.25">
      <c r="A158" s="2" t="s">
        <v>53</v>
      </c>
      <c r="B158" s="2" t="s">
        <v>54</v>
      </c>
      <c r="C158" s="2" t="s">
        <v>55</v>
      </c>
      <c r="D158" s="3">
        <v>2450</v>
      </c>
      <c r="E158" s="4">
        <v>86.11</v>
      </c>
      <c r="F158" s="4">
        <f t="shared" si="10"/>
        <v>210969.5</v>
      </c>
      <c r="G158" s="7" t="s">
        <v>389</v>
      </c>
      <c r="H158" s="2" t="s">
        <v>56</v>
      </c>
      <c r="I158" s="5">
        <v>31</v>
      </c>
      <c r="J158" s="3">
        <v>1512</v>
      </c>
      <c r="K158" s="4">
        <v>147.5</v>
      </c>
      <c r="L158" s="4">
        <f t="shared" si="11"/>
        <v>223020</v>
      </c>
      <c r="M158" s="2" t="s">
        <v>319</v>
      </c>
      <c r="N158" s="2" t="s">
        <v>42</v>
      </c>
      <c r="O158" s="2" t="s">
        <v>35</v>
      </c>
      <c r="P158" s="2" t="s">
        <v>403</v>
      </c>
      <c r="Q158" s="2" t="s">
        <v>376</v>
      </c>
      <c r="R158" s="6" t="s">
        <v>317</v>
      </c>
      <c r="S158" s="2" t="s">
        <v>81</v>
      </c>
    </row>
    <row r="159" spans="1:19" x14ac:dyDescent="0.25">
      <c r="A159" s="7" t="s">
        <v>45</v>
      </c>
      <c r="B159" s="7" t="s">
        <v>46</v>
      </c>
      <c r="C159" s="7" t="s">
        <v>47</v>
      </c>
      <c r="D159" s="8">
        <v>2450</v>
      </c>
      <c r="E159" s="9">
        <v>128.97999999999999</v>
      </c>
      <c r="F159" s="9">
        <f t="shared" si="10"/>
        <v>316001</v>
      </c>
      <c r="G159" s="2" t="s">
        <v>385</v>
      </c>
      <c r="H159" s="7" t="s">
        <v>48</v>
      </c>
      <c r="I159" s="10">
        <v>18</v>
      </c>
      <c r="J159" s="8">
        <v>3044</v>
      </c>
      <c r="K159" s="9">
        <v>185.55</v>
      </c>
      <c r="L159" s="9">
        <f t="shared" si="11"/>
        <v>564814.20000000007</v>
      </c>
      <c r="M159" s="7" t="s">
        <v>320</v>
      </c>
      <c r="N159" s="7" t="s">
        <v>50</v>
      </c>
      <c r="O159" s="2" t="s">
        <v>377</v>
      </c>
      <c r="P159" s="2" t="s">
        <v>401</v>
      </c>
      <c r="Q159" s="2" t="s">
        <v>378</v>
      </c>
      <c r="R159" s="11" t="s">
        <v>111</v>
      </c>
      <c r="S159" s="7" t="s">
        <v>44</v>
      </c>
    </row>
    <row r="160" spans="1:19" x14ac:dyDescent="0.25">
      <c r="A160" s="2" t="s">
        <v>37</v>
      </c>
      <c r="B160" s="2" t="s">
        <v>38</v>
      </c>
      <c r="C160" s="2" t="s">
        <v>39</v>
      </c>
      <c r="D160" s="3">
        <v>2750</v>
      </c>
      <c r="E160" s="4">
        <v>91.15</v>
      </c>
      <c r="F160" s="4">
        <f t="shared" si="10"/>
        <v>250662.50000000003</v>
      </c>
      <c r="G160" s="7" t="s">
        <v>391</v>
      </c>
      <c r="H160" s="2" t="s">
        <v>40</v>
      </c>
      <c r="I160" s="5">
        <v>21</v>
      </c>
      <c r="J160" s="3">
        <v>4174</v>
      </c>
      <c r="K160" s="4">
        <v>36.130000000000003</v>
      </c>
      <c r="L160" s="4">
        <f t="shared" si="11"/>
        <v>150806.62000000002</v>
      </c>
      <c r="M160" s="2" t="s">
        <v>321</v>
      </c>
      <c r="N160" s="2" t="s">
        <v>42</v>
      </c>
      <c r="O160" s="2" t="s">
        <v>43</v>
      </c>
      <c r="P160" s="7" t="s">
        <v>405</v>
      </c>
      <c r="Q160" s="2" t="s">
        <v>376</v>
      </c>
      <c r="R160" s="6" t="s">
        <v>254</v>
      </c>
      <c r="S160" s="2" t="s">
        <v>73</v>
      </c>
    </row>
    <row r="161" spans="1:19" x14ac:dyDescent="0.25">
      <c r="A161" s="7" t="s">
        <v>23</v>
      </c>
      <c r="B161" s="7" t="s">
        <v>24</v>
      </c>
      <c r="C161" s="7" t="s">
        <v>25</v>
      </c>
      <c r="D161" s="8">
        <v>2800</v>
      </c>
      <c r="E161" s="9">
        <v>331.92</v>
      </c>
      <c r="F161" s="9">
        <f t="shared" si="10"/>
        <v>929376</v>
      </c>
      <c r="G161" s="7" t="s">
        <v>383</v>
      </c>
      <c r="H161" s="7" t="s">
        <v>26</v>
      </c>
      <c r="I161" s="10">
        <v>19</v>
      </c>
      <c r="J161" s="8">
        <v>2817</v>
      </c>
      <c r="K161" s="9">
        <v>543.20000000000005</v>
      </c>
      <c r="L161" s="9">
        <f t="shared" si="11"/>
        <v>1530194.4000000001</v>
      </c>
      <c r="M161" s="7" t="s">
        <v>322</v>
      </c>
      <c r="N161" s="7" t="s">
        <v>75</v>
      </c>
      <c r="O161" s="7" t="s">
        <v>20</v>
      </c>
      <c r="P161" s="2" t="s">
        <v>400</v>
      </c>
      <c r="Q161" s="2" t="s">
        <v>375</v>
      </c>
      <c r="R161" s="11" t="s">
        <v>323</v>
      </c>
      <c r="S161" s="7" t="s">
        <v>52</v>
      </c>
    </row>
    <row r="162" spans="1:19" x14ac:dyDescent="0.25">
      <c r="A162" s="2" t="s">
        <v>14</v>
      </c>
      <c r="B162" s="2" t="s">
        <v>15</v>
      </c>
      <c r="C162" s="2" t="s">
        <v>16</v>
      </c>
      <c r="D162" s="3">
        <v>4700</v>
      </c>
      <c r="E162" s="4">
        <v>133.06</v>
      </c>
      <c r="F162" s="4">
        <f t="shared" si="10"/>
        <v>625382</v>
      </c>
      <c r="G162" s="2" t="s">
        <v>382</v>
      </c>
      <c r="H162" s="2" t="s">
        <v>17</v>
      </c>
      <c r="I162" s="5">
        <v>26</v>
      </c>
      <c r="J162" s="3">
        <v>3793</v>
      </c>
      <c r="K162" s="4">
        <v>54.23</v>
      </c>
      <c r="L162" s="4">
        <f t="shared" si="11"/>
        <v>205694.38999999998</v>
      </c>
      <c r="M162" s="2" t="s">
        <v>324</v>
      </c>
      <c r="N162" s="2" t="s">
        <v>50</v>
      </c>
      <c r="O162" s="2" t="s">
        <v>43</v>
      </c>
      <c r="P162" s="7" t="s">
        <v>405</v>
      </c>
      <c r="Q162" s="2" t="s">
        <v>376</v>
      </c>
      <c r="R162" s="6" t="s">
        <v>325</v>
      </c>
      <c r="S162" s="2" t="s">
        <v>397</v>
      </c>
    </row>
    <row r="163" spans="1:19" x14ac:dyDescent="0.25">
      <c r="A163" s="7" t="s">
        <v>30</v>
      </c>
      <c r="B163" s="7" t="s">
        <v>31</v>
      </c>
      <c r="C163" s="7" t="s">
        <v>32</v>
      </c>
      <c r="D163" s="8">
        <v>3900</v>
      </c>
      <c r="E163" s="9">
        <v>107.42</v>
      </c>
      <c r="F163" s="9">
        <f t="shared" si="10"/>
        <v>418938</v>
      </c>
      <c r="G163" s="2" t="s">
        <v>388</v>
      </c>
      <c r="H163" s="7" t="s">
        <v>33</v>
      </c>
      <c r="I163" s="10">
        <v>11</v>
      </c>
      <c r="J163" s="8">
        <v>4216</v>
      </c>
      <c r="K163" s="9">
        <v>22.14</v>
      </c>
      <c r="L163" s="9">
        <f t="shared" si="11"/>
        <v>93342.24</v>
      </c>
      <c r="M163" s="7" t="s">
        <v>326</v>
      </c>
      <c r="N163" s="7" t="s">
        <v>28</v>
      </c>
      <c r="O163" s="2" t="s">
        <v>377</v>
      </c>
      <c r="P163" s="2" t="s">
        <v>401</v>
      </c>
      <c r="Q163" s="2" t="s">
        <v>378</v>
      </c>
      <c r="R163" s="11" t="s">
        <v>327</v>
      </c>
      <c r="S163" s="7" t="s">
        <v>73</v>
      </c>
    </row>
    <row r="164" spans="1:19" x14ac:dyDescent="0.25">
      <c r="A164" s="2" t="s">
        <v>14</v>
      </c>
      <c r="B164" s="2" t="s">
        <v>15</v>
      </c>
      <c r="C164" s="2" t="s">
        <v>16</v>
      </c>
      <c r="D164" s="3">
        <v>4700</v>
      </c>
      <c r="E164" s="4">
        <v>144.28</v>
      </c>
      <c r="F164" s="4">
        <f t="shared" si="10"/>
        <v>678116</v>
      </c>
      <c r="G164" s="2" t="s">
        <v>382</v>
      </c>
      <c r="H164" s="2" t="s">
        <v>17</v>
      </c>
      <c r="I164" s="5">
        <v>39</v>
      </c>
      <c r="J164" s="3">
        <v>2515</v>
      </c>
      <c r="K164" s="4">
        <v>53.69</v>
      </c>
      <c r="L164" s="4">
        <f t="shared" si="11"/>
        <v>135030.35</v>
      </c>
      <c r="M164" s="2" t="s">
        <v>328</v>
      </c>
      <c r="N164" s="2" t="s">
        <v>42</v>
      </c>
      <c r="O164" s="2" t="s">
        <v>35</v>
      </c>
      <c r="P164" s="2" t="s">
        <v>403</v>
      </c>
      <c r="Q164" s="2" t="s">
        <v>376</v>
      </c>
      <c r="R164" s="6" t="s">
        <v>161</v>
      </c>
      <c r="S164" s="2" t="s">
        <v>52</v>
      </c>
    </row>
    <row r="165" spans="1:19" x14ac:dyDescent="0.25">
      <c r="A165" s="7" t="s">
        <v>67</v>
      </c>
      <c r="B165" s="7" t="s">
        <v>68</v>
      </c>
      <c r="C165" s="7" t="s">
        <v>69</v>
      </c>
      <c r="D165" s="8">
        <v>4550</v>
      </c>
      <c r="E165" s="9">
        <v>431.4</v>
      </c>
      <c r="F165" s="9">
        <f t="shared" si="10"/>
        <v>1962870</v>
      </c>
      <c r="G165" s="2" t="s">
        <v>390</v>
      </c>
      <c r="H165" s="7" t="s">
        <v>70</v>
      </c>
      <c r="I165" s="10">
        <v>13</v>
      </c>
      <c r="J165" s="8">
        <v>2763</v>
      </c>
      <c r="K165" s="9">
        <v>2521.6799999999998</v>
      </c>
      <c r="L165" s="9">
        <f t="shared" si="11"/>
        <v>6967401.8399999999</v>
      </c>
      <c r="M165" s="7" t="s">
        <v>329</v>
      </c>
      <c r="N165" s="7" t="s">
        <v>42</v>
      </c>
      <c r="O165" s="7" t="s">
        <v>85</v>
      </c>
      <c r="P165" s="2" t="s">
        <v>402</v>
      </c>
      <c r="Q165" s="2" t="s">
        <v>376</v>
      </c>
      <c r="R165" s="11" t="s">
        <v>72</v>
      </c>
      <c r="S165" s="2" t="s">
        <v>397</v>
      </c>
    </row>
    <row r="166" spans="1:19" x14ac:dyDescent="0.25">
      <c r="A166" s="2" t="s">
        <v>53</v>
      </c>
      <c r="B166" s="2" t="s">
        <v>54</v>
      </c>
      <c r="C166" s="2" t="s">
        <v>55</v>
      </c>
      <c r="D166" s="3">
        <v>3400</v>
      </c>
      <c r="E166" s="4">
        <v>81.900000000000006</v>
      </c>
      <c r="F166" s="4">
        <f t="shared" si="10"/>
        <v>278460</v>
      </c>
      <c r="G166" s="7" t="s">
        <v>389</v>
      </c>
      <c r="H166" s="2" t="s">
        <v>56</v>
      </c>
      <c r="I166" s="5">
        <v>33</v>
      </c>
      <c r="J166" s="3">
        <v>1606</v>
      </c>
      <c r="K166" s="4">
        <v>150.76</v>
      </c>
      <c r="L166" s="4">
        <f t="shared" si="11"/>
        <v>242120.56</v>
      </c>
      <c r="M166" s="2" t="s">
        <v>330</v>
      </c>
      <c r="N166" s="2" t="s">
        <v>50</v>
      </c>
      <c r="O166" s="2" t="s">
        <v>377</v>
      </c>
      <c r="P166" s="2" t="s">
        <v>401</v>
      </c>
      <c r="Q166" s="2" t="s">
        <v>378</v>
      </c>
      <c r="R166" s="6" t="s">
        <v>331</v>
      </c>
      <c r="S166" s="2" t="s">
        <v>44</v>
      </c>
    </row>
    <row r="167" spans="1:19" x14ac:dyDescent="0.25">
      <c r="A167" s="7" t="s">
        <v>14</v>
      </c>
      <c r="B167" s="7" t="s">
        <v>15</v>
      </c>
      <c r="C167" s="7" t="s">
        <v>16</v>
      </c>
      <c r="D167" s="8">
        <v>3050</v>
      </c>
      <c r="E167" s="9">
        <v>134.16</v>
      </c>
      <c r="F167" s="9">
        <f t="shared" si="10"/>
        <v>409188</v>
      </c>
      <c r="G167" s="2" t="s">
        <v>382</v>
      </c>
      <c r="H167" s="7" t="s">
        <v>17</v>
      </c>
      <c r="I167" s="10">
        <v>15</v>
      </c>
      <c r="J167" s="8">
        <v>2444</v>
      </c>
      <c r="K167" s="9">
        <v>54.06</v>
      </c>
      <c r="L167" s="9">
        <f t="shared" si="11"/>
        <v>132122.64000000001</v>
      </c>
      <c r="M167" s="7" t="s">
        <v>332</v>
      </c>
      <c r="N167" s="7" t="s">
        <v>104</v>
      </c>
      <c r="O167" s="7" t="s">
        <v>43</v>
      </c>
      <c r="P167" s="7" t="s">
        <v>405</v>
      </c>
      <c r="Q167" s="2" t="s">
        <v>376</v>
      </c>
      <c r="R167" s="11" t="s">
        <v>117</v>
      </c>
      <c r="S167" s="2" t="s">
        <v>397</v>
      </c>
    </row>
    <row r="168" spans="1:19" x14ac:dyDescent="0.25">
      <c r="A168" s="2" t="s">
        <v>67</v>
      </c>
      <c r="B168" s="2" t="s">
        <v>68</v>
      </c>
      <c r="C168" s="2" t="s">
        <v>69</v>
      </c>
      <c r="D168" s="3">
        <v>4150</v>
      </c>
      <c r="E168" s="4">
        <v>447.18</v>
      </c>
      <c r="F168" s="4">
        <f t="shared" si="10"/>
        <v>1855797</v>
      </c>
      <c r="G168" s="2" t="s">
        <v>390</v>
      </c>
      <c r="H168" s="2" t="s">
        <v>70</v>
      </c>
      <c r="I168" s="5">
        <v>42</v>
      </c>
      <c r="J168" s="3">
        <v>2398</v>
      </c>
      <c r="K168" s="4">
        <v>2576.17</v>
      </c>
      <c r="L168" s="4">
        <f t="shared" si="11"/>
        <v>6177655.6600000001</v>
      </c>
      <c r="M168" s="2" t="s">
        <v>333</v>
      </c>
      <c r="N168" s="2" t="s">
        <v>75</v>
      </c>
      <c r="O168" s="2" t="s">
        <v>20</v>
      </c>
      <c r="P168" s="2" t="s">
        <v>400</v>
      </c>
      <c r="Q168" s="2" t="s">
        <v>375</v>
      </c>
      <c r="R168" s="6" t="s">
        <v>309</v>
      </c>
      <c r="S168" s="2" t="s">
        <v>73</v>
      </c>
    </row>
    <row r="169" spans="1:19" x14ac:dyDescent="0.25">
      <c r="A169" s="7" t="s">
        <v>53</v>
      </c>
      <c r="B169" s="7" t="s">
        <v>54</v>
      </c>
      <c r="C169" s="7" t="s">
        <v>55</v>
      </c>
      <c r="D169" s="8">
        <v>4900</v>
      </c>
      <c r="E169" s="9">
        <v>84.93</v>
      </c>
      <c r="F169" s="9">
        <f t="shared" si="10"/>
        <v>416157.00000000006</v>
      </c>
      <c r="G169" s="7" t="s">
        <v>389</v>
      </c>
      <c r="H169" s="7" t="s">
        <v>56</v>
      </c>
      <c r="I169" s="10">
        <v>29</v>
      </c>
      <c r="J169" s="8">
        <v>433</v>
      </c>
      <c r="K169" s="9">
        <v>152.13</v>
      </c>
      <c r="L169" s="9">
        <f t="shared" si="11"/>
        <v>65872.289999999994</v>
      </c>
      <c r="M169" s="7" t="s">
        <v>334</v>
      </c>
      <c r="N169" s="7" t="s">
        <v>50</v>
      </c>
      <c r="O169" s="7" t="s">
        <v>43</v>
      </c>
      <c r="P169" s="7" t="s">
        <v>405</v>
      </c>
      <c r="Q169" s="2" t="s">
        <v>376</v>
      </c>
      <c r="R169" s="11" t="s">
        <v>240</v>
      </c>
      <c r="S169" s="7" t="s">
        <v>44</v>
      </c>
    </row>
    <row r="170" spans="1:19" x14ac:dyDescent="0.25">
      <c r="A170" s="2" t="s">
        <v>14</v>
      </c>
      <c r="B170" s="2" t="s">
        <v>15</v>
      </c>
      <c r="C170" s="2" t="s">
        <v>16</v>
      </c>
      <c r="D170" s="3">
        <v>1300</v>
      </c>
      <c r="E170" s="4">
        <v>137.13999999999999</v>
      </c>
      <c r="F170" s="4">
        <f t="shared" ref="F170:F187" si="12">D170*E170</f>
        <v>178281.99999999997</v>
      </c>
      <c r="G170" s="2" t="s">
        <v>382</v>
      </c>
      <c r="H170" s="2" t="s">
        <v>17</v>
      </c>
      <c r="I170" s="5">
        <v>26</v>
      </c>
      <c r="J170" s="3">
        <v>1815</v>
      </c>
      <c r="K170" s="4">
        <v>54.12</v>
      </c>
      <c r="L170" s="4">
        <f t="shared" ref="L170:L187" si="13">J170*K170</f>
        <v>98227.799999999988</v>
      </c>
      <c r="M170" s="2" t="s">
        <v>335</v>
      </c>
      <c r="N170" s="2" t="s">
        <v>28</v>
      </c>
      <c r="O170" s="2" t="s">
        <v>20</v>
      </c>
      <c r="P170" s="2" t="s">
        <v>400</v>
      </c>
      <c r="Q170" s="2" t="s">
        <v>375</v>
      </c>
      <c r="R170" s="6" t="s">
        <v>58</v>
      </c>
      <c r="S170" s="2" t="s">
        <v>44</v>
      </c>
    </row>
    <row r="171" spans="1:19" x14ac:dyDescent="0.25">
      <c r="A171" s="7" t="s">
        <v>14</v>
      </c>
      <c r="B171" s="7" t="s">
        <v>15</v>
      </c>
      <c r="C171" s="7" t="s">
        <v>16</v>
      </c>
      <c r="D171" s="8">
        <v>4900</v>
      </c>
      <c r="E171" s="9">
        <v>138.55000000000001</v>
      </c>
      <c r="F171" s="9">
        <f t="shared" si="12"/>
        <v>678895</v>
      </c>
      <c r="G171" s="2" t="s">
        <v>382</v>
      </c>
      <c r="H171" s="7" t="s">
        <v>17</v>
      </c>
      <c r="I171" s="10">
        <v>15</v>
      </c>
      <c r="J171" s="8">
        <v>4851</v>
      </c>
      <c r="K171" s="9">
        <v>53.33</v>
      </c>
      <c r="L171" s="9">
        <f t="shared" si="13"/>
        <v>258703.83</v>
      </c>
      <c r="M171" s="7" t="s">
        <v>336</v>
      </c>
      <c r="N171" s="7" t="s">
        <v>42</v>
      </c>
      <c r="O171" s="7" t="s">
        <v>35</v>
      </c>
      <c r="P171" s="2" t="s">
        <v>403</v>
      </c>
      <c r="Q171" s="2" t="s">
        <v>376</v>
      </c>
      <c r="R171" s="11" t="s">
        <v>58</v>
      </c>
      <c r="S171" s="7" t="s">
        <v>81</v>
      </c>
    </row>
    <row r="172" spans="1:19" x14ac:dyDescent="0.25">
      <c r="A172" s="2" t="s">
        <v>59</v>
      </c>
      <c r="B172" s="2" t="s">
        <v>60</v>
      </c>
      <c r="C172" s="2" t="s">
        <v>61</v>
      </c>
      <c r="D172" s="3">
        <v>3100</v>
      </c>
      <c r="E172" s="4">
        <v>285.11</v>
      </c>
      <c r="F172" s="4">
        <f t="shared" si="12"/>
        <v>883841</v>
      </c>
      <c r="G172" s="2" t="s">
        <v>384</v>
      </c>
      <c r="H172" s="2" t="s">
        <v>62</v>
      </c>
      <c r="I172" s="5">
        <v>36</v>
      </c>
      <c r="J172" s="3">
        <v>4874</v>
      </c>
      <c r="K172" s="4">
        <v>65.739999999999995</v>
      </c>
      <c r="L172" s="4">
        <f t="shared" si="13"/>
        <v>320416.75999999995</v>
      </c>
      <c r="M172" s="2" t="s">
        <v>337</v>
      </c>
      <c r="N172" s="2" t="s">
        <v>50</v>
      </c>
      <c r="O172" s="2" t="s">
        <v>43</v>
      </c>
      <c r="P172" s="7" t="s">
        <v>405</v>
      </c>
      <c r="Q172" s="2" t="s">
        <v>376</v>
      </c>
      <c r="R172" s="6" t="s">
        <v>115</v>
      </c>
      <c r="S172" s="2" t="s">
        <v>81</v>
      </c>
    </row>
    <row r="173" spans="1:19" x14ac:dyDescent="0.25">
      <c r="A173" s="7" t="s">
        <v>45</v>
      </c>
      <c r="B173" s="7" t="s">
        <v>46</v>
      </c>
      <c r="C173" s="7" t="s">
        <v>47</v>
      </c>
      <c r="D173" s="8">
        <v>3650</v>
      </c>
      <c r="E173" s="9">
        <v>125.71</v>
      </c>
      <c r="F173" s="9">
        <f t="shared" si="12"/>
        <v>458841.5</v>
      </c>
      <c r="G173" s="2" t="s">
        <v>385</v>
      </c>
      <c r="H173" s="7" t="s">
        <v>48</v>
      </c>
      <c r="I173" s="10">
        <v>10</v>
      </c>
      <c r="J173" s="8">
        <v>4822</v>
      </c>
      <c r="K173" s="9">
        <v>185.52</v>
      </c>
      <c r="L173" s="9">
        <f t="shared" si="13"/>
        <v>894577.44000000006</v>
      </c>
      <c r="M173" s="7" t="s">
        <v>338</v>
      </c>
      <c r="N173" s="7" t="s">
        <v>50</v>
      </c>
      <c r="O173" s="7" t="s">
        <v>85</v>
      </c>
      <c r="P173" s="2" t="s">
        <v>402</v>
      </c>
      <c r="Q173" s="2" t="s">
        <v>376</v>
      </c>
      <c r="R173" s="11" t="s">
        <v>161</v>
      </c>
      <c r="S173" s="7" t="s">
        <v>44</v>
      </c>
    </row>
    <row r="174" spans="1:19" x14ac:dyDescent="0.25">
      <c r="A174" s="2" t="s">
        <v>53</v>
      </c>
      <c r="B174" s="2" t="s">
        <v>54</v>
      </c>
      <c r="C174" s="2" t="s">
        <v>55</v>
      </c>
      <c r="D174" s="3">
        <v>1050</v>
      </c>
      <c r="E174" s="4">
        <v>88.5</v>
      </c>
      <c r="F174" s="4">
        <f t="shared" si="12"/>
        <v>92925</v>
      </c>
      <c r="G174" s="7" t="s">
        <v>389</v>
      </c>
      <c r="H174" s="2" t="s">
        <v>56</v>
      </c>
      <c r="I174" s="5">
        <v>31</v>
      </c>
      <c r="J174" s="3">
        <v>1577</v>
      </c>
      <c r="K174" s="4">
        <v>149.91</v>
      </c>
      <c r="L174" s="4">
        <f t="shared" si="13"/>
        <v>236408.07</v>
      </c>
      <c r="M174" s="2" t="s">
        <v>339</v>
      </c>
      <c r="N174" s="2" t="s">
        <v>42</v>
      </c>
      <c r="O174" s="2" t="s">
        <v>20</v>
      </c>
      <c r="P174" s="2" t="s">
        <v>400</v>
      </c>
      <c r="Q174" s="2" t="s">
        <v>375</v>
      </c>
      <c r="R174" s="6" t="s">
        <v>161</v>
      </c>
      <c r="S174" s="2" t="s">
        <v>397</v>
      </c>
    </row>
    <row r="175" spans="1:19" x14ac:dyDescent="0.25">
      <c r="A175" s="7" t="s">
        <v>89</v>
      </c>
      <c r="B175" s="7" t="s">
        <v>90</v>
      </c>
      <c r="C175" s="7" t="s">
        <v>91</v>
      </c>
      <c r="D175" s="8">
        <v>1800</v>
      </c>
      <c r="E175" s="9">
        <v>110.57</v>
      </c>
      <c r="F175" s="9">
        <f t="shared" si="12"/>
        <v>199026</v>
      </c>
      <c r="G175" s="7" t="s">
        <v>387</v>
      </c>
      <c r="H175" s="7" t="s">
        <v>92</v>
      </c>
      <c r="I175" s="10">
        <v>25</v>
      </c>
      <c r="J175" s="8">
        <v>1168</v>
      </c>
      <c r="K175" s="9">
        <v>44.1</v>
      </c>
      <c r="L175" s="9">
        <f t="shared" si="13"/>
        <v>51508.800000000003</v>
      </c>
      <c r="M175" s="7" t="s">
        <v>340</v>
      </c>
      <c r="N175" s="7" t="s">
        <v>101</v>
      </c>
      <c r="O175" s="7" t="s">
        <v>35</v>
      </c>
      <c r="P175" s="2" t="s">
        <v>403</v>
      </c>
      <c r="Q175" s="2" t="s">
        <v>376</v>
      </c>
      <c r="R175" s="11" t="s">
        <v>182</v>
      </c>
      <c r="S175" s="7" t="s">
        <v>73</v>
      </c>
    </row>
    <row r="176" spans="1:19" x14ac:dyDescent="0.25">
      <c r="A176" s="2" t="s">
        <v>53</v>
      </c>
      <c r="B176" s="2" t="s">
        <v>54</v>
      </c>
      <c r="C176" s="2" t="s">
        <v>55</v>
      </c>
      <c r="D176" s="3">
        <v>1850</v>
      </c>
      <c r="E176" s="4">
        <v>81.98</v>
      </c>
      <c r="F176" s="4">
        <f t="shared" si="12"/>
        <v>151663</v>
      </c>
      <c r="G176" s="7" t="s">
        <v>389</v>
      </c>
      <c r="H176" s="2" t="s">
        <v>56</v>
      </c>
      <c r="I176" s="5">
        <v>25</v>
      </c>
      <c r="J176" s="3">
        <v>949</v>
      </c>
      <c r="K176" s="4">
        <v>145.87</v>
      </c>
      <c r="L176" s="4">
        <f t="shared" si="13"/>
        <v>138430.63</v>
      </c>
      <c r="M176" s="2" t="s">
        <v>341</v>
      </c>
      <c r="N176" s="2" t="s">
        <v>28</v>
      </c>
      <c r="O176" s="2" t="s">
        <v>35</v>
      </c>
      <c r="P176" s="2" t="s">
        <v>403</v>
      </c>
      <c r="Q176" s="2" t="s">
        <v>376</v>
      </c>
      <c r="R176" s="6" t="s">
        <v>119</v>
      </c>
      <c r="S176" s="2" t="s">
        <v>52</v>
      </c>
    </row>
    <row r="177" spans="1:19" x14ac:dyDescent="0.25">
      <c r="A177" s="7" t="s">
        <v>67</v>
      </c>
      <c r="B177" s="7" t="s">
        <v>68</v>
      </c>
      <c r="C177" s="7" t="s">
        <v>69</v>
      </c>
      <c r="D177" s="8">
        <v>2950</v>
      </c>
      <c r="E177" s="9">
        <v>461.19</v>
      </c>
      <c r="F177" s="9">
        <f t="shared" si="12"/>
        <v>1360510.5</v>
      </c>
      <c r="G177" s="2" t="s">
        <v>390</v>
      </c>
      <c r="H177" s="7" t="s">
        <v>70</v>
      </c>
      <c r="I177" s="10">
        <v>42</v>
      </c>
      <c r="J177" s="8">
        <v>1624</v>
      </c>
      <c r="K177" s="9">
        <v>2528.11</v>
      </c>
      <c r="L177" s="9">
        <f t="shared" si="13"/>
        <v>4105650.64</v>
      </c>
      <c r="M177" s="7" t="s">
        <v>342</v>
      </c>
      <c r="N177" s="7" t="s">
        <v>104</v>
      </c>
      <c r="O177" s="2" t="s">
        <v>377</v>
      </c>
      <c r="P177" s="2" t="s">
        <v>401</v>
      </c>
      <c r="Q177" s="2" t="s">
        <v>378</v>
      </c>
      <c r="R177" s="11" t="s">
        <v>171</v>
      </c>
      <c r="S177" s="2" t="s">
        <v>397</v>
      </c>
    </row>
    <row r="178" spans="1:19" x14ac:dyDescent="0.25">
      <c r="A178" s="2" t="s">
        <v>53</v>
      </c>
      <c r="B178" s="2" t="s">
        <v>54</v>
      </c>
      <c r="C178" s="2" t="s">
        <v>55</v>
      </c>
      <c r="D178" s="3">
        <v>2500</v>
      </c>
      <c r="E178" s="4">
        <v>85</v>
      </c>
      <c r="F178" s="4">
        <f t="shared" si="12"/>
        <v>212500</v>
      </c>
      <c r="G178" s="7" t="s">
        <v>389</v>
      </c>
      <c r="H178" s="2" t="s">
        <v>56</v>
      </c>
      <c r="I178" s="5">
        <v>28</v>
      </c>
      <c r="J178" s="3">
        <v>3338</v>
      </c>
      <c r="K178" s="4">
        <v>153.85</v>
      </c>
      <c r="L178" s="4">
        <f t="shared" si="13"/>
        <v>513551.3</v>
      </c>
      <c r="M178" s="2" t="s">
        <v>343</v>
      </c>
      <c r="N178" s="2" t="s">
        <v>75</v>
      </c>
      <c r="O178" s="2" t="s">
        <v>377</v>
      </c>
      <c r="P178" s="2" t="s">
        <v>401</v>
      </c>
      <c r="Q178" s="2" t="s">
        <v>378</v>
      </c>
      <c r="R178" s="6" t="s">
        <v>219</v>
      </c>
      <c r="S178" s="2" t="s">
        <v>44</v>
      </c>
    </row>
    <row r="179" spans="1:19" x14ac:dyDescent="0.25">
      <c r="A179" s="7" t="s">
        <v>45</v>
      </c>
      <c r="B179" s="7" t="s">
        <v>46</v>
      </c>
      <c r="C179" s="7" t="s">
        <v>47</v>
      </c>
      <c r="D179" s="8">
        <v>4650</v>
      </c>
      <c r="E179" s="9">
        <v>135.06</v>
      </c>
      <c r="F179" s="9">
        <f t="shared" si="12"/>
        <v>628029</v>
      </c>
      <c r="G179" s="2" t="s">
        <v>385</v>
      </c>
      <c r="H179" s="7" t="s">
        <v>48</v>
      </c>
      <c r="I179" s="10">
        <v>28</v>
      </c>
      <c r="J179" s="8">
        <v>3004</v>
      </c>
      <c r="K179" s="9">
        <v>182.01</v>
      </c>
      <c r="L179" s="9">
        <f t="shared" si="13"/>
        <v>546758.03999999992</v>
      </c>
      <c r="M179" s="7" t="s">
        <v>344</v>
      </c>
      <c r="N179" s="7" t="s">
        <v>101</v>
      </c>
      <c r="O179" s="7" t="s">
        <v>20</v>
      </c>
      <c r="P179" s="2" t="s">
        <v>400</v>
      </c>
      <c r="Q179" s="2" t="s">
        <v>375</v>
      </c>
      <c r="R179" s="11" t="s">
        <v>345</v>
      </c>
      <c r="S179" s="7" t="s">
        <v>52</v>
      </c>
    </row>
    <row r="180" spans="1:19" x14ac:dyDescent="0.25">
      <c r="A180" s="2" t="s">
        <v>89</v>
      </c>
      <c r="B180" s="2" t="s">
        <v>90</v>
      </c>
      <c r="C180" s="2" t="s">
        <v>91</v>
      </c>
      <c r="D180" s="3">
        <v>2500</v>
      </c>
      <c r="E180" s="4">
        <v>111.14</v>
      </c>
      <c r="F180" s="4">
        <f t="shared" si="12"/>
        <v>277850</v>
      </c>
      <c r="G180" s="7" t="s">
        <v>387</v>
      </c>
      <c r="H180" s="2" t="s">
        <v>92</v>
      </c>
      <c r="I180" s="5">
        <v>11</v>
      </c>
      <c r="J180" s="3">
        <v>2945</v>
      </c>
      <c r="K180" s="4">
        <v>44.63</v>
      </c>
      <c r="L180" s="4">
        <f t="shared" si="13"/>
        <v>131435.35</v>
      </c>
      <c r="M180" s="2" t="s">
        <v>346</v>
      </c>
      <c r="N180" s="2" t="s">
        <v>75</v>
      </c>
      <c r="O180" s="2" t="s">
        <v>35</v>
      </c>
      <c r="P180" s="2" t="s">
        <v>403</v>
      </c>
      <c r="Q180" s="2" t="s">
        <v>376</v>
      </c>
      <c r="R180" s="6" t="s">
        <v>123</v>
      </c>
      <c r="S180" s="2" t="s">
        <v>397</v>
      </c>
    </row>
    <row r="181" spans="1:19" x14ac:dyDescent="0.25">
      <c r="A181" s="7" t="s">
        <v>59</v>
      </c>
      <c r="B181" s="7" t="s">
        <v>60</v>
      </c>
      <c r="C181" s="7" t="s">
        <v>61</v>
      </c>
      <c r="D181" s="8">
        <v>2750</v>
      </c>
      <c r="E181" s="9">
        <v>288.35000000000002</v>
      </c>
      <c r="F181" s="9">
        <f t="shared" si="12"/>
        <v>792962.50000000012</v>
      </c>
      <c r="G181" s="2" t="s">
        <v>384</v>
      </c>
      <c r="H181" s="7" t="s">
        <v>62</v>
      </c>
      <c r="I181" s="10">
        <v>27</v>
      </c>
      <c r="J181" s="8">
        <v>1893</v>
      </c>
      <c r="K181" s="9">
        <v>65.239999999999995</v>
      </c>
      <c r="L181" s="9">
        <f t="shared" si="13"/>
        <v>123499.31999999999</v>
      </c>
      <c r="M181" s="7" t="s">
        <v>347</v>
      </c>
      <c r="N181" s="7" t="s">
        <v>28</v>
      </c>
      <c r="O181" s="2" t="s">
        <v>377</v>
      </c>
      <c r="P181" s="2" t="s">
        <v>401</v>
      </c>
      <c r="Q181" s="2" t="s">
        <v>378</v>
      </c>
      <c r="R181" s="11" t="s">
        <v>348</v>
      </c>
      <c r="S181" s="7" t="s">
        <v>52</v>
      </c>
    </row>
    <row r="182" spans="1:19" x14ac:dyDescent="0.25">
      <c r="A182" s="2" t="s">
        <v>14</v>
      </c>
      <c r="B182" s="2" t="s">
        <v>15</v>
      </c>
      <c r="C182" s="2" t="s">
        <v>16</v>
      </c>
      <c r="D182" s="3">
        <v>3050</v>
      </c>
      <c r="E182" s="4">
        <v>137.84</v>
      </c>
      <c r="F182" s="4">
        <f t="shared" si="12"/>
        <v>420412</v>
      </c>
      <c r="G182" s="2" t="s">
        <v>382</v>
      </c>
      <c r="H182" s="2" t="s">
        <v>17</v>
      </c>
      <c r="I182" s="5">
        <v>33</v>
      </c>
      <c r="J182" s="3">
        <v>4428</v>
      </c>
      <c r="K182" s="4">
        <v>55.52</v>
      </c>
      <c r="L182" s="4">
        <f t="shared" si="13"/>
        <v>245842.56000000003</v>
      </c>
      <c r="M182" s="2" t="s">
        <v>349</v>
      </c>
      <c r="N182" s="2" t="s">
        <v>50</v>
      </c>
      <c r="O182" s="2" t="s">
        <v>85</v>
      </c>
      <c r="P182" s="2" t="s">
        <v>402</v>
      </c>
      <c r="Q182" s="2" t="s">
        <v>376</v>
      </c>
      <c r="R182" s="6" t="s">
        <v>261</v>
      </c>
      <c r="S182" s="2" t="s">
        <v>397</v>
      </c>
    </row>
    <row r="183" spans="1:19" x14ac:dyDescent="0.25">
      <c r="A183" s="7" t="s">
        <v>45</v>
      </c>
      <c r="B183" s="7" t="s">
        <v>46</v>
      </c>
      <c r="C183" s="7" t="s">
        <v>47</v>
      </c>
      <c r="D183" s="8">
        <v>1650</v>
      </c>
      <c r="E183" s="9">
        <v>134.28</v>
      </c>
      <c r="F183" s="9">
        <f t="shared" si="12"/>
        <v>221562</v>
      </c>
      <c r="G183" s="2" t="s">
        <v>385</v>
      </c>
      <c r="H183" s="7" t="s">
        <v>48</v>
      </c>
      <c r="I183" s="10">
        <v>30</v>
      </c>
      <c r="J183" s="8">
        <v>3444</v>
      </c>
      <c r="K183" s="9">
        <v>185.13</v>
      </c>
      <c r="L183" s="9">
        <f t="shared" si="13"/>
        <v>637587.72</v>
      </c>
      <c r="M183" s="7" t="s">
        <v>350</v>
      </c>
      <c r="N183" s="7" t="s">
        <v>101</v>
      </c>
      <c r="O183" s="7" t="s">
        <v>85</v>
      </c>
      <c r="P183" s="2" t="s">
        <v>402</v>
      </c>
      <c r="Q183" s="2" t="s">
        <v>376</v>
      </c>
      <c r="R183" s="11" t="s">
        <v>154</v>
      </c>
      <c r="S183" s="2" t="s">
        <v>397</v>
      </c>
    </row>
    <row r="184" spans="1:19" x14ac:dyDescent="0.25">
      <c r="A184" s="2" t="s">
        <v>45</v>
      </c>
      <c r="B184" s="2" t="s">
        <v>46</v>
      </c>
      <c r="C184" s="2" t="s">
        <v>47</v>
      </c>
      <c r="D184" s="3">
        <v>2550</v>
      </c>
      <c r="E184" s="4">
        <v>135.32</v>
      </c>
      <c r="F184" s="4">
        <f t="shared" si="12"/>
        <v>345066</v>
      </c>
      <c r="G184" s="2" t="s">
        <v>385</v>
      </c>
      <c r="H184" s="2" t="s">
        <v>48</v>
      </c>
      <c r="I184" s="5">
        <v>33</v>
      </c>
      <c r="J184" s="3">
        <v>4994</v>
      </c>
      <c r="K184" s="4">
        <v>184.25</v>
      </c>
      <c r="L184" s="4">
        <f t="shared" si="13"/>
        <v>920144.5</v>
      </c>
      <c r="M184" s="2" t="s">
        <v>351</v>
      </c>
      <c r="N184" s="2" t="s">
        <v>19</v>
      </c>
      <c r="O184" s="2" t="s">
        <v>43</v>
      </c>
      <c r="P184" s="7" t="s">
        <v>405</v>
      </c>
      <c r="Q184" s="2" t="s">
        <v>376</v>
      </c>
      <c r="R184" s="6" t="s">
        <v>323</v>
      </c>
      <c r="S184" s="2" t="s">
        <v>52</v>
      </c>
    </row>
    <row r="185" spans="1:19" x14ac:dyDescent="0.25">
      <c r="A185" s="7" t="s">
        <v>30</v>
      </c>
      <c r="B185" s="7" t="s">
        <v>31</v>
      </c>
      <c r="C185" s="7" t="s">
        <v>32</v>
      </c>
      <c r="D185" s="8">
        <v>4450</v>
      </c>
      <c r="E185" s="9">
        <v>100.79</v>
      </c>
      <c r="F185" s="9">
        <f t="shared" si="12"/>
        <v>448515.5</v>
      </c>
      <c r="G185" s="2" t="s">
        <v>388</v>
      </c>
      <c r="H185" s="7" t="s">
        <v>33</v>
      </c>
      <c r="I185" s="10">
        <v>33</v>
      </c>
      <c r="J185" s="8">
        <v>1393</v>
      </c>
      <c r="K185" s="9">
        <v>22.82</v>
      </c>
      <c r="L185" s="9">
        <f t="shared" si="13"/>
        <v>31788.260000000002</v>
      </c>
      <c r="M185" s="7" t="s">
        <v>352</v>
      </c>
      <c r="N185" s="7" t="s">
        <v>101</v>
      </c>
      <c r="O185" s="2" t="s">
        <v>377</v>
      </c>
      <c r="P185" s="2" t="s">
        <v>401</v>
      </c>
      <c r="Q185" s="2" t="s">
        <v>378</v>
      </c>
      <c r="R185" s="11" t="s">
        <v>180</v>
      </c>
      <c r="S185" s="7" t="s">
        <v>44</v>
      </c>
    </row>
    <row r="186" spans="1:19" x14ac:dyDescent="0.25">
      <c r="A186" s="2" t="s">
        <v>53</v>
      </c>
      <c r="B186" s="2" t="s">
        <v>54</v>
      </c>
      <c r="C186" s="2" t="s">
        <v>55</v>
      </c>
      <c r="D186" s="3">
        <v>2000</v>
      </c>
      <c r="E186" s="4">
        <v>85.9</v>
      </c>
      <c r="F186" s="4">
        <f t="shared" si="12"/>
        <v>171800</v>
      </c>
      <c r="G186" s="7" t="s">
        <v>389</v>
      </c>
      <c r="H186" s="2" t="s">
        <v>56</v>
      </c>
      <c r="I186" s="5">
        <v>15</v>
      </c>
      <c r="J186" s="3">
        <v>2177</v>
      </c>
      <c r="K186" s="4">
        <v>155.32</v>
      </c>
      <c r="L186" s="4">
        <f t="shared" si="13"/>
        <v>338131.64</v>
      </c>
      <c r="M186" s="2" t="s">
        <v>353</v>
      </c>
      <c r="N186" s="2" t="s">
        <v>50</v>
      </c>
      <c r="O186" s="2" t="s">
        <v>35</v>
      </c>
      <c r="P186" s="2" t="s">
        <v>403</v>
      </c>
      <c r="Q186" s="2" t="s">
        <v>376</v>
      </c>
      <c r="R186" s="6" t="s">
        <v>354</v>
      </c>
      <c r="S186" s="2" t="s">
        <v>397</v>
      </c>
    </row>
    <row r="187" spans="1:19" x14ac:dyDescent="0.25">
      <c r="A187" s="7" t="s">
        <v>37</v>
      </c>
      <c r="B187" s="7" t="s">
        <v>38</v>
      </c>
      <c r="C187" s="7" t="s">
        <v>39</v>
      </c>
      <c r="D187" s="8">
        <v>4050</v>
      </c>
      <c r="E187" s="9">
        <v>91.31</v>
      </c>
      <c r="F187" s="9">
        <f t="shared" si="12"/>
        <v>369805.5</v>
      </c>
      <c r="G187" s="7" t="s">
        <v>391</v>
      </c>
      <c r="H187" s="7" t="s">
        <v>40</v>
      </c>
      <c r="I187" s="10">
        <v>37</v>
      </c>
      <c r="J187" s="8">
        <v>1250</v>
      </c>
      <c r="K187" s="9">
        <v>35.450000000000003</v>
      </c>
      <c r="L187" s="9">
        <f t="shared" si="13"/>
        <v>44312.5</v>
      </c>
      <c r="M187" s="7" t="s">
        <v>355</v>
      </c>
      <c r="N187" s="7" t="s">
        <v>101</v>
      </c>
      <c r="O187" s="7" t="s">
        <v>20</v>
      </c>
      <c r="P187" s="2" t="s">
        <v>400</v>
      </c>
      <c r="Q187" s="2" t="s">
        <v>375</v>
      </c>
      <c r="R187" s="11" t="s">
        <v>86</v>
      </c>
      <c r="S187" s="7" t="s">
        <v>73</v>
      </c>
    </row>
    <row r="188" spans="1:19" x14ac:dyDescent="0.25">
      <c r="A188" s="2" t="s">
        <v>59</v>
      </c>
      <c r="B188" s="2" t="s">
        <v>60</v>
      </c>
      <c r="C188" s="2" t="s">
        <v>61</v>
      </c>
      <c r="D188" s="3">
        <v>3500</v>
      </c>
      <c r="E188" s="4">
        <v>291.56</v>
      </c>
      <c r="F188" s="4">
        <f t="shared" ref="F188:F193" si="14">D188*E188</f>
        <v>1020460</v>
      </c>
      <c r="G188" s="2" t="s">
        <v>384</v>
      </c>
      <c r="H188" s="2" t="s">
        <v>62</v>
      </c>
      <c r="I188" s="5">
        <v>37</v>
      </c>
      <c r="J188" s="3">
        <v>3949</v>
      </c>
      <c r="K188" s="4">
        <v>63.5</v>
      </c>
      <c r="L188" s="4">
        <f t="shared" ref="L188:L193" si="15">J188*K188</f>
        <v>250761.5</v>
      </c>
      <c r="M188" s="2" t="s">
        <v>356</v>
      </c>
      <c r="N188" s="2" t="s">
        <v>75</v>
      </c>
      <c r="O188" s="2" t="s">
        <v>43</v>
      </c>
      <c r="P188" s="7" t="s">
        <v>405</v>
      </c>
      <c r="Q188" s="2" t="s">
        <v>376</v>
      </c>
      <c r="R188" s="6" t="s">
        <v>303</v>
      </c>
      <c r="S188" s="2" t="s">
        <v>52</v>
      </c>
    </row>
    <row r="189" spans="1:19" x14ac:dyDescent="0.25">
      <c r="A189" s="7" t="s">
        <v>106</v>
      </c>
      <c r="B189" s="7" t="s">
        <v>107</v>
      </c>
      <c r="C189" s="7" t="s">
        <v>108</v>
      </c>
      <c r="D189" s="8">
        <v>2150</v>
      </c>
      <c r="E189" s="9">
        <v>202.41</v>
      </c>
      <c r="F189" s="9">
        <f t="shared" si="14"/>
        <v>435181.5</v>
      </c>
      <c r="G189" s="7" t="s">
        <v>386</v>
      </c>
      <c r="H189" s="7" t="s">
        <v>109</v>
      </c>
      <c r="I189" s="10">
        <v>35</v>
      </c>
      <c r="J189" s="8">
        <v>2300</v>
      </c>
      <c r="K189" s="9">
        <v>8.7200000000000006</v>
      </c>
      <c r="L189" s="9">
        <f t="shared" si="15"/>
        <v>20056</v>
      </c>
      <c r="M189" s="7" t="s">
        <v>357</v>
      </c>
      <c r="N189" s="7" t="s">
        <v>75</v>
      </c>
      <c r="O189" s="7" t="s">
        <v>35</v>
      </c>
      <c r="P189" s="2" t="s">
        <v>403</v>
      </c>
      <c r="Q189" s="2" t="s">
        <v>376</v>
      </c>
      <c r="R189" s="11" t="s">
        <v>358</v>
      </c>
      <c r="S189" s="7" t="s">
        <v>52</v>
      </c>
    </row>
    <row r="190" spans="1:19" x14ac:dyDescent="0.25">
      <c r="A190" s="2" t="s">
        <v>14</v>
      </c>
      <c r="B190" s="2" t="s">
        <v>15</v>
      </c>
      <c r="C190" s="2" t="s">
        <v>16</v>
      </c>
      <c r="D190" s="3">
        <v>3700</v>
      </c>
      <c r="E190" s="4">
        <v>133.07</v>
      </c>
      <c r="F190" s="4">
        <f t="shared" si="14"/>
        <v>492359</v>
      </c>
      <c r="G190" s="2" t="s">
        <v>382</v>
      </c>
      <c r="H190" s="2" t="s">
        <v>17</v>
      </c>
      <c r="I190" s="5">
        <v>19</v>
      </c>
      <c r="J190" s="3">
        <v>2195</v>
      </c>
      <c r="K190" s="4">
        <v>54.83</v>
      </c>
      <c r="L190" s="4">
        <f t="shared" si="15"/>
        <v>120351.84999999999</v>
      </c>
      <c r="M190" s="2" t="s">
        <v>359</v>
      </c>
      <c r="N190" s="2" t="s">
        <v>42</v>
      </c>
      <c r="O190" s="2" t="s">
        <v>85</v>
      </c>
      <c r="P190" s="2" t="s">
        <v>402</v>
      </c>
      <c r="Q190" s="2" t="s">
        <v>376</v>
      </c>
      <c r="R190" s="6" t="s">
        <v>105</v>
      </c>
      <c r="S190" s="2" t="s">
        <v>52</v>
      </c>
    </row>
    <row r="191" spans="1:19" x14ac:dyDescent="0.25">
      <c r="A191" s="7" t="s">
        <v>37</v>
      </c>
      <c r="B191" s="7" t="s">
        <v>38</v>
      </c>
      <c r="C191" s="7" t="s">
        <v>39</v>
      </c>
      <c r="D191" s="8">
        <v>1950</v>
      </c>
      <c r="E191" s="9">
        <v>94.79</v>
      </c>
      <c r="F191" s="9">
        <f t="shared" si="14"/>
        <v>184840.5</v>
      </c>
      <c r="G191" s="7" t="s">
        <v>391</v>
      </c>
      <c r="H191" s="7" t="s">
        <v>40</v>
      </c>
      <c r="I191" s="10">
        <v>22</v>
      </c>
      <c r="J191" s="8">
        <v>3522</v>
      </c>
      <c r="K191" s="9">
        <v>33.729999999999997</v>
      </c>
      <c r="L191" s="9">
        <f t="shared" si="15"/>
        <v>118797.05999999998</v>
      </c>
      <c r="M191" s="7" t="s">
        <v>360</v>
      </c>
      <c r="N191" s="7" t="s">
        <v>75</v>
      </c>
      <c r="O191" s="2" t="s">
        <v>377</v>
      </c>
      <c r="P191" s="2" t="s">
        <v>401</v>
      </c>
      <c r="Q191" s="2" t="s">
        <v>378</v>
      </c>
      <c r="R191" s="11" t="s">
        <v>21</v>
      </c>
      <c r="S191" s="7" t="s">
        <v>73</v>
      </c>
    </row>
    <row r="192" spans="1:19" x14ac:dyDescent="0.25">
      <c r="A192" s="2" t="s">
        <v>67</v>
      </c>
      <c r="B192" s="2" t="s">
        <v>68</v>
      </c>
      <c r="C192" s="2" t="s">
        <v>69</v>
      </c>
      <c r="D192" s="3">
        <v>3600</v>
      </c>
      <c r="E192" s="4">
        <v>471.6</v>
      </c>
      <c r="F192" s="4">
        <f t="shared" si="14"/>
        <v>1697760</v>
      </c>
      <c r="G192" s="2" t="s">
        <v>390</v>
      </c>
      <c r="H192" s="2" t="s">
        <v>70</v>
      </c>
      <c r="I192" s="5">
        <v>11</v>
      </c>
      <c r="J192" s="3">
        <v>1495</v>
      </c>
      <c r="K192" s="4">
        <v>2417.41</v>
      </c>
      <c r="L192" s="4">
        <f t="shared" si="15"/>
        <v>3614027.9499999997</v>
      </c>
      <c r="M192" s="2" t="s">
        <v>361</v>
      </c>
      <c r="N192" s="2" t="s">
        <v>28</v>
      </c>
      <c r="O192" s="2" t="s">
        <v>377</v>
      </c>
      <c r="P192" s="2" t="s">
        <v>401</v>
      </c>
      <c r="Q192" s="2" t="s">
        <v>378</v>
      </c>
      <c r="R192" s="6" t="s">
        <v>362</v>
      </c>
      <c r="S192" s="2" t="s">
        <v>73</v>
      </c>
    </row>
    <row r="193" spans="1:19" x14ac:dyDescent="0.25">
      <c r="A193" s="7" t="s">
        <v>89</v>
      </c>
      <c r="B193" s="7" t="s">
        <v>90</v>
      </c>
      <c r="C193" s="7" t="s">
        <v>91</v>
      </c>
      <c r="D193" s="8">
        <v>3200</v>
      </c>
      <c r="E193" s="9">
        <v>107.9</v>
      </c>
      <c r="F193" s="9">
        <f t="shared" si="14"/>
        <v>345280</v>
      </c>
      <c r="G193" s="7" t="s">
        <v>387</v>
      </c>
      <c r="H193" s="7" t="s">
        <v>92</v>
      </c>
      <c r="I193" s="10">
        <v>21</v>
      </c>
      <c r="J193" s="8">
        <v>2152</v>
      </c>
      <c r="K193" s="9">
        <v>45.03</v>
      </c>
      <c r="L193" s="9">
        <f t="shared" si="15"/>
        <v>96904.56</v>
      </c>
      <c r="M193" s="7" t="s">
        <v>363</v>
      </c>
      <c r="N193" s="7" t="s">
        <v>42</v>
      </c>
      <c r="O193" s="2" t="s">
        <v>377</v>
      </c>
      <c r="P193" s="2" t="s">
        <v>401</v>
      </c>
      <c r="Q193" s="2" t="s">
        <v>378</v>
      </c>
      <c r="R193" s="11" t="s">
        <v>148</v>
      </c>
      <c r="S193" s="7" t="s">
        <v>81</v>
      </c>
    </row>
    <row r="194" spans="1:19" x14ac:dyDescent="0.25">
      <c r="A194" s="2" t="s">
        <v>45</v>
      </c>
      <c r="B194" s="2" t="s">
        <v>46</v>
      </c>
      <c r="C194" s="2" t="s">
        <v>47</v>
      </c>
      <c r="D194" s="3">
        <v>1800</v>
      </c>
      <c r="E194" s="4">
        <v>125.25</v>
      </c>
      <c r="F194" s="4">
        <f t="shared" ref="F194:F201" si="16">D194*E194</f>
        <v>225450</v>
      </c>
      <c r="G194" s="2" t="s">
        <v>385</v>
      </c>
      <c r="H194" s="2" t="s">
        <v>48</v>
      </c>
      <c r="I194" s="5">
        <v>31</v>
      </c>
      <c r="J194" s="3">
        <v>1197</v>
      </c>
      <c r="K194" s="4">
        <v>185.04</v>
      </c>
      <c r="L194" s="4">
        <f t="shared" ref="L194:L201" si="17">J194*K194</f>
        <v>221492.88</v>
      </c>
      <c r="M194" s="2" t="s">
        <v>364</v>
      </c>
      <c r="N194" s="2" t="s">
        <v>19</v>
      </c>
      <c r="O194" s="2" t="s">
        <v>43</v>
      </c>
      <c r="P194" s="7" t="s">
        <v>405</v>
      </c>
      <c r="Q194" s="2" t="s">
        <v>376</v>
      </c>
      <c r="R194" s="6" t="s">
        <v>266</v>
      </c>
      <c r="S194" s="2" t="s">
        <v>397</v>
      </c>
    </row>
    <row r="195" spans="1:19" x14ac:dyDescent="0.25">
      <c r="A195" s="7" t="s">
        <v>53</v>
      </c>
      <c r="B195" s="7" t="s">
        <v>54</v>
      </c>
      <c r="C195" s="7" t="s">
        <v>55</v>
      </c>
      <c r="D195" s="8">
        <v>2650</v>
      </c>
      <c r="E195" s="9">
        <v>88.3</v>
      </c>
      <c r="F195" s="9">
        <f t="shared" si="16"/>
        <v>233995</v>
      </c>
      <c r="G195" s="7" t="s">
        <v>389</v>
      </c>
      <c r="H195" s="7" t="s">
        <v>56</v>
      </c>
      <c r="I195" s="10">
        <v>22</v>
      </c>
      <c r="J195" s="8">
        <v>1074</v>
      </c>
      <c r="K195" s="9">
        <v>148.26</v>
      </c>
      <c r="L195" s="9">
        <f t="shared" si="17"/>
        <v>159231.24</v>
      </c>
      <c r="M195" s="7" t="s">
        <v>365</v>
      </c>
      <c r="N195" s="7" t="s">
        <v>104</v>
      </c>
      <c r="O195" s="2" t="s">
        <v>377</v>
      </c>
      <c r="P195" s="2" t="s">
        <v>401</v>
      </c>
      <c r="Q195" s="2" t="s">
        <v>378</v>
      </c>
      <c r="R195" s="11" t="s">
        <v>266</v>
      </c>
      <c r="S195" s="7" t="s">
        <v>81</v>
      </c>
    </row>
    <row r="196" spans="1:19" x14ac:dyDescent="0.25">
      <c r="A196" s="2" t="s">
        <v>89</v>
      </c>
      <c r="B196" s="2" t="s">
        <v>90</v>
      </c>
      <c r="C196" s="2" t="s">
        <v>91</v>
      </c>
      <c r="D196" s="3">
        <v>1450</v>
      </c>
      <c r="E196" s="4">
        <v>112.9</v>
      </c>
      <c r="F196" s="4">
        <f t="shared" si="16"/>
        <v>163705</v>
      </c>
      <c r="G196" s="7" t="s">
        <v>387</v>
      </c>
      <c r="H196" s="2" t="s">
        <v>92</v>
      </c>
      <c r="I196" s="5">
        <v>12</v>
      </c>
      <c r="J196" s="3">
        <v>3372</v>
      </c>
      <c r="K196" s="4">
        <v>44.91</v>
      </c>
      <c r="L196" s="4">
        <f t="shared" si="17"/>
        <v>151436.51999999999</v>
      </c>
      <c r="M196" s="2" t="s">
        <v>366</v>
      </c>
      <c r="N196" s="2" t="s">
        <v>50</v>
      </c>
      <c r="O196" s="2" t="s">
        <v>35</v>
      </c>
      <c r="P196" s="2" t="s">
        <v>403</v>
      </c>
      <c r="Q196" s="2" t="s">
        <v>376</v>
      </c>
      <c r="R196" s="6" t="s">
        <v>66</v>
      </c>
      <c r="S196" s="2" t="s">
        <v>73</v>
      </c>
    </row>
    <row r="197" spans="1:19" x14ac:dyDescent="0.25">
      <c r="A197" s="7" t="s">
        <v>53</v>
      </c>
      <c r="B197" s="7" t="s">
        <v>54</v>
      </c>
      <c r="C197" s="7" t="s">
        <v>55</v>
      </c>
      <c r="D197" s="8">
        <v>2200</v>
      </c>
      <c r="E197" s="9">
        <v>83.6</v>
      </c>
      <c r="F197" s="9">
        <f t="shared" si="16"/>
        <v>183920</v>
      </c>
      <c r="G197" s="7" t="s">
        <v>389</v>
      </c>
      <c r="H197" s="7" t="s">
        <v>56</v>
      </c>
      <c r="I197" s="10">
        <v>15</v>
      </c>
      <c r="J197" s="8">
        <v>3722</v>
      </c>
      <c r="K197" s="9">
        <v>144.32</v>
      </c>
      <c r="L197" s="9">
        <f t="shared" si="17"/>
        <v>537159.03999999992</v>
      </c>
      <c r="M197" s="7" t="s">
        <v>367</v>
      </c>
      <c r="N197" s="7" t="s">
        <v>19</v>
      </c>
      <c r="O197" s="2" t="s">
        <v>377</v>
      </c>
      <c r="P197" s="2" t="s">
        <v>401</v>
      </c>
      <c r="Q197" s="2" t="s">
        <v>378</v>
      </c>
      <c r="R197" s="11" t="s">
        <v>225</v>
      </c>
      <c r="S197" s="7" t="s">
        <v>44</v>
      </c>
    </row>
    <row r="198" spans="1:19" x14ac:dyDescent="0.25">
      <c r="A198" s="2" t="s">
        <v>45</v>
      </c>
      <c r="B198" s="2" t="s">
        <v>46</v>
      </c>
      <c r="C198" s="2" t="s">
        <v>47</v>
      </c>
      <c r="D198" s="3">
        <v>1850</v>
      </c>
      <c r="E198" s="4">
        <v>133.37</v>
      </c>
      <c r="F198" s="4">
        <f t="shared" si="16"/>
        <v>246734.5</v>
      </c>
      <c r="G198" s="2" t="s">
        <v>385</v>
      </c>
      <c r="H198" s="2" t="s">
        <v>48</v>
      </c>
      <c r="I198" s="5">
        <v>12</v>
      </c>
      <c r="J198" s="3">
        <v>2056</v>
      </c>
      <c r="K198" s="4">
        <v>180.1</v>
      </c>
      <c r="L198" s="4">
        <f t="shared" si="17"/>
        <v>370285.6</v>
      </c>
      <c r="M198" s="2" t="s">
        <v>368</v>
      </c>
      <c r="N198" s="2" t="s">
        <v>42</v>
      </c>
      <c r="O198" s="2" t="s">
        <v>35</v>
      </c>
      <c r="P198" s="2" t="s">
        <v>403</v>
      </c>
      <c r="Q198" s="2" t="s">
        <v>376</v>
      </c>
      <c r="R198" s="6" t="s">
        <v>130</v>
      </c>
      <c r="S198" s="2" t="s">
        <v>81</v>
      </c>
    </row>
    <row r="199" spans="1:19" x14ac:dyDescent="0.25">
      <c r="A199" s="7" t="s">
        <v>67</v>
      </c>
      <c r="B199" s="7" t="s">
        <v>68</v>
      </c>
      <c r="C199" s="7" t="s">
        <v>69</v>
      </c>
      <c r="D199" s="8">
        <v>1500</v>
      </c>
      <c r="E199" s="9">
        <v>466.79</v>
      </c>
      <c r="F199" s="9">
        <f t="shared" si="16"/>
        <v>700185</v>
      </c>
      <c r="G199" s="2" t="s">
        <v>390</v>
      </c>
      <c r="H199" s="7" t="s">
        <v>70</v>
      </c>
      <c r="I199" s="10">
        <v>38</v>
      </c>
      <c r="J199" s="8">
        <v>4323</v>
      </c>
      <c r="K199" s="9">
        <v>2453.1999999999998</v>
      </c>
      <c r="L199" s="9">
        <f t="shared" si="17"/>
        <v>10605183.6</v>
      </c>
      <c r="M199" s="7" t="s">
        <v>369</v>
      </c>
      <c r="N199" s="7" t="s">
        <v>42</v>
      </c>
      <c r="O199" s="7" t="s">
        <v>20</v>
      </c>
      <c r="P199" s="2" t="s">
        <v>400</v>
      </c>
      <c r="Q199" s="2" t="s">
        <v>375</v>
      </c>
      <c r="R199" s="11" t="s">
        <v>211</v>
      </c>
      <c r="S199" s="7" t="s">
        <v>44</v>
      </c>
    </row>
    <row r="200" spans="1:19" x14ac:dyDescent="0.25">
      <c r="A200" s="2" t="s">
        <v>53</v>
      </c>
      <c r="B200" s="2" t="s">
        <v>54</v>
      </c>
      <c r="C200" s="2" t="s">
        <v>55</v>
      </c>
      <c r="D200" s="3">
        <v>4000</v>
      </c>
      <c r="E200" s="4">
        <v>85.03</v>
      </c>
      <c r="F200" s="4">
        <f t="shared" si="16"/>
        <v>340120</v>
      </c>
      <c r="G200" s="7" t="s">
        <v>389</v>
      </c>
      <c r="H200" s="2" t="s">
        <v>56</v>
      </c>
      <c r="I200" s="5">
        <v>24</v>
      </c>
      <c r="J200" s="3">
        <v>1392</v>
      </c>
      <c r="K200" s="4">
        <v>151.30000000000001</v>
      </c>
      <c r="L200" s="4">
        <f t="shared" si="17"/>
        <v>210609.6</v>
      </c>
      <c r="M200" s="2" t="s">
        <v>370</v>
      </c>
      <c r="N200" s="2" t="s">
        <v>50</v>
      </c>
      <c r="O200" s="2" t="s">
        <v>85</v>
      </c>
      <c r="P200" s="2" t="s">
        <v>402</v>
      </c>
      <c r="Q200" s="2" t="s">
        <v>376</v>
      </c>
      <c r="R200" s="6" t="s">
        <v>204</v>
      </c>
      <c r="S200" s="2" t="s">
        <v>81</v>
      </c>
    </row>
    <row r="201" spans="1:19" x14ac:dyDescent="0.25">
      <c r="A201" s="7" t="s">
        <v>89</v>
      </c>
      <c r="B201" s="7" t="s">
        <v>90</v>
      </c>
      <c r="C201" s="7" t="s">
        <v>91</v>
      </c>
      <c r="D201" s="8">
        <v>3300</v>
      </c>
      <c r="E201" s="9">
        <v>114.88</v>
      </c>
      <c r="F201" s="9">
        <f t="shared" si="16"/>
        <v>379104</v>
      </c>
      <c r="G201" s="7" t="s">
        <v>387</v>
      </c>
      <c r="H201" s="7" t="s">
        <v>92</v>
      </c>
      <c r="I201" s="10">
        <v>42</v>
      </c>
      <c r="J201" s="8">
        <v>608</v>
      </c>
      <c r="K201" s="9">
        <v>45.3</v>
      </c>
      <c r="L201" s="9">
        <f t="shared" si="17"/>
        <v>27542.399999999998</v>
      </c>
      <c r="M201" s="7" t="s">
        <v>371</v>
      </c>
      <c r="N201" s="7" t="s">
        <v>75</v>
      </c>
      <c r="O201" s="7" t="s">
        <v>85</v>
      </c>
      <c r="P201" s="2" t="s">
        <v>402</v>
      </c>
      <c r="Q201" s="2" t="s">
        <v>376</v>
      </c>
      <c r="R201" s="11" t="s">
        <v>142</v>
      </c>
      <c r="S201" s="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84E2-522C-4774-BD30-ABA3FC387CD4}">
  <sheetPr codeName="Sheet3"/>
  <dimension ref="A1:F201"/>
  <sheetViews>
    <sheetView tabSelected="1" workbookViewId="0">
      <selection activeCell="B2" sqref="B2"/>
    </sheetView>
  </sheetViews>
  <sheetFormatPr defaultRowHeight="15" x14ac:dyDescent="0.25"/>
  <cols>
    <col min="2" max="2" width="23.42578125" bestFit="1" customWidth="1"/>
    <col min="3" max="3" width="11.7109375" customWidth="1"/>
    <col min="4" max="4" width="15.140625" customWidth="1"/>
    <col min="5" max="5" width="11.140625" bestFit="1" customWidth="1"/>
  </cols>
  <sheetData>
    <row r="1" spans="1:6" ht="49.5" x14ac:dyDescent="0.25">
      <c r="A1" s="1" t="s">
        <v>0</v>
      </c>
      <c r="B1" s="1" t="s">
        <v>1</v>
      </c>
      <c r="C1" s="1" t="s">
        <v>380</v>
      </c>
      <c r="D1" s="1" t="s">
        <v>381</v>
      </c>
      <c r="E1" s="1" t="s">
        <v>5</v>
      </c>
      <c r="F1" s="1" t="s">
        <v>7</v>
      </c>
    </row>
    <row r="2" spans="1:6" x14ac:dyDescent="0.25">
      <c r="A2" s="2" t="s">
        <v>14</v>
      </c>
      <c r="B2" s="12" t="str">
        <f>VLOOKUP(A2,'Cleaned Data'!A:S,2,FALSE)</f>
        <v>CMOS Image Sensor (CIS)</v>
      </c>
      <c r="C2" s="12">
        <f>VLOOKUP(A2,'Cleaned Data'!$A:$S,4,FALSE)</f>
        <v>2200</v>
      </c>
      <c r="D2" s="12">
        <f>VLOOKUP(A2,'Cleaned Data'!$A:$S,6,FALSE)</f>
        <v>320584</v>
      </c>
      <c r="E2" s="12" t="str">
        <f>VLOOKUP(A2,'Cleaned Data'!A:S,7,FALSE)</f>
        <v>BAR-010</v>
      </c>
      <c r="F2" s="12">
        <f>VLOOKUP(A2,'Cleaned Data'!$A:$S,9,FALSE)</f>
        <v>13</v>
      </c>
    </row>
    <row r="3" spans="1:6" x14ac:dyDescent="0.25">
      <c r="A3" s="7" t="s">
        <v>23</v>
      </c>
      <c r="B3" s="12" t="str">
        <f>VLOOKUP(A3,'Cleaned Data'!A:S,2,FALSE)</f>
        <v>GaAs RF Power Amp</v>
      </c>
      <c r="C3" s="12">
        <f>VLOOKUP(A3,'Cleaned Data'!$A:$S,4,FALSE)</f>
        <v>2600</v>
      </c>
      <c r="D3" s="12">
        <f>VLOOKUP(A3,'Cleaned Data'!$A:$S,6,FALSE)</f>
        <v>806494</v>
      </c>
      <c r="E3" s="12" t="str">
        <f>VLOOKUP(A3,'Cleaned Data'!A:S,7,FALSE)</f>
        <v>BAR-002</v>
      </c>
      <c r="F3" s="12">
        <f>VLOOKUP(A3,'Cleaned Data'!$A:$S,9,FALSE)</f>
        <v>33</v>
      </c>
    </row>
    <row r="4" spans="1:6" x14ac:dyDescent="0.25">
      <c r="A4" s="2" t="s">
        <v>30</v>
      </c>
      <c r="B4" s="12" t="str">
        <f>VLOOKUP(A4,'Cleaned Data'!A:S,2,FALSE)</f>
        <v>OLED Display Driver IC</v>
      </c>
      <c r="C4" s="12">
        <f>VLOOKUP(A4,'Cleaned Data'!$A:$S,4,FALSE)</f>
        <v>2900</v>
      </c>
      <c r="D4" s="12">
        <f>VLOOKUP(A4,'Cleaned Data'!$A:$S,6,FALSE)</f>
        <v>295713</v>
      </c>
      <c r="E4" s="12" t="str">
        <f>VLOOKUP(A4,'Cleaned Data'!A:S,7,FALSE)</f>
        <v>BAR-008</v>
      </c>
      <c r="F4" s="12">
        <f>VLOOKUP(A4,'Cleaned Data'!$A:$S,9,FALSE)</f>
        <v>27</v>
      </c>
    </row>
    <row r="5" spans="1:6" x14ac:dyDescent="0.25">
      <c r="A5" s="7" t="s">
        <v>37</v>
      </c>
      <c r="B5" s="12" t="str">
        <f>VLOOKUP(A5,'Cleaned Data'!A:S,2,FALSE)</f>
        <v>Automotive MCU (16-bit)</v>
      </c>
      <c r="C5" s="12">
        <f>VLOOKUP(A5,'Cleaned Data'!$A:$S,4,FALSE)</f>
        <v>4400</v>
      </c>
      <c r="D5" s="12">
        <f>VLOOKUP(A5,'Cleaned Data'!$A:$S,6,FALSE)</f>
        <v>401060</v>
      </c>
      <c r="E5" s="12" t="str">
        <f>VLOOKUP(A5,'Cleaned Data'!A:S,7,FALSE)</f>
        <v>BAR-004</v>
      </c>
      <c r="F5" s="12">
        <f>VLOOKUP(A5,'Cleaned Data'!$A:$S,9,FALSE)</f>
        <v>33</v>
      </c>
    </row>
    <row r="6" spans="1:6" x14ac:dyDescent="0.25">
      <c r="A6" s="2" t="s">
        <v>45</v>
      </c>
      <c r="B6" s="12" t="str">
        <f>VLOOKUP(A6,'Cleaned Data'!A:S,2,FALSE)</f>
        <v>IGBT Power Module</v>
      </c>
      <c r="C6" s="12">
        <f>VLOOKUP(A6,'Cleaned Data'!$A:$S,4,FALSE)</f>
        <v>3300</v>
      </c>
      <c r="D6" s="12">
        <f>VLOOKUP(A6,'Cleaned Data'!$A:$S,6,FALSE)</f>
        <v>445995</v>
      </c>
      <c r="E6" s="12" t="str">
        <f>VLOOKUP(A6,'Cleaned Data'!A:S,7,FALSE)</f>
        <v>BAR-007</v>
      </c>
      <c r="F6" s="12">
        <f>VLOOKUP(A6,'Cleaned Data'!$A:$S,9,FALSE)</f>
        <v>41</v>
      </c>
    </row>
    <row r="7" spans="1:6" x14ac:dyDescent="0.25">
      <c r="A7" s="7" t="s">
        <v>53</v>
      </c>
      <c r="B7" s="12" t="str">
        <f>VLOOKUP(A7,'Cleaned Data'!A:S,2,FALSE)</f>
        <v>Silicon Wafer 300mm</v>
      </c>
      <c r="C7" s="12">
        <f>VLOOKUP(A7,'Cleaned Data'!$A:$S,4,FALSE)</f>
        <v>4650</v>
      </c>
      <c r="D7" s="12">
        <f>VLOOKUP(A7,'Cleaned Data'!$A:$S,6,FALSE)</f>
        <v>389158.5</v>
      </c>
      <c r="E7" s="12" t="str">
        <f>VLOOKUP(A7,'Cleaned Data'!A:S,7,FALSE)</f>
        <v>BAR-001</v>
      </c>
      <c r="F7" s="12">
        <f>VLOOKUP(A7,'Cleaned Data'!$A:$S,9,FALSE)</f>
        <v>17</v>
      </c>
    </row>
    <row r="8" spans="1:6" x14ac:dyDescent="0.25">
      <c r="A8" s="2" t="s">
        <v>59</v>
      </c>
      <c r="B8" s="12" t="str">
        <f>VLOOKUP(A8,'Cleaned Data'!A:S,2,FALSE)</f>
        <v>GaN Fast Charger IC</v>
      </c>
      <c r="C8" s="12">
        <f>VLOOKUP(A8,'Cleaned Data'!$A:$S,4,FALSE)</f>
        <v>3850</v>
      </c>
      <c r="D8" s="12">
        <f>VLOOKUP(A8,'Cleaned Data'!$A:$S,6,FALSE)</f>
        <v>1169553</v>
      </c>
      <c r="E8" s="12" t="str">
        <f>VLOOKUP(A8,'Cleaned Data'!A:S,7,FALSE)</f>
        <v>BAR-009</v>
      </c>
      <c r="F8" s="12">
        <f>VLOOKUP(A8,'Cleaned Data'!$A:$S,9,FALSE)</f>
        <v>19</v>
      </c>
    </row>
    <row r="9" spans="1:6" x14ac:dyDescent="0.25">
      <c r="A9" s="7" t="s">
        <v>37</v>
      </c>
      <c r="B9" s="12" t="str">
        <f>VLOOKUP(A9,'Cleaned Data'!A:S,2,FALSE)</f>
        <v>Automotive MCU (16-bit)</v>
      </c>
      <c r="C9" s="12">
        <f>VLOOKUP(A9,'Cleaned Data'!$A:$S,4,FALSE)</f>
        <v>4400</v>
      </c>
      <c r="D9" s="12">
        <f>VLOOKUP(A9,'Cleaned Data'!$A:$S,6,FALSE)</f>
        <v>401060</v>
      </c>
      <c r="E9" s="12" t="str">
        <f>VLOOKUP(A9,'Cleaned Data'!A:S,7,FALSE)</f>
        <v>BAR-004</v>
      </c>
      <c r="F9" s="12">
        <f>VLOOKUP(A9,'Cleaned Data'!$A:$S,9,FALSE)</f>
        <v>33</v>
      </c>
    </row>
    <row r="10" spans="1:6" x14ac:dyDescent="0.25">
      <c r="A10" s="2" t="s">
        <v>67</v>
      </c>
      <c r="B10" s="12" t="str">
        <f>VLOOKUP(A10,'Cleaned Data'!A:S,2,FALSE)</f>
        <v>AI Accelerator GPU</v>
      </c>
      <c r="C10" s="12">
        <f>VLOOKUP(A10,'Cleaned Data'!$A:$S,4,FALSE)</f>
        <v>2100</v>
      </c>
      <c r="D10" s="12">
        <f>VLOOKUP(A10,'Cleaned Data'!$A:$S,6,FALSE)</f>
        <v>898905</v>
      </c>
      <c r="E10" s="12" t="str">
        <f>VLOOKUP(A10,'Cleaned Data'!A:S,7,FALSE)</f>
        <v>BAR-005</v>
      </c>
      <c r="F10" s="12">
        <f>VLOOKUP(A10,'Cleaned Data'!$A:$S,9,FALSE)</f>
        <v>39</v>
      </c>
    </row>
    <row r="11" spans="1:6" x14ac:dyDescent="0.25">
      <c r="A11" s="7" t="s">
        <v>59</v>
      </c>
      <c r="B11" s="12" t="str">
        <f>VLOOKUP(A11,'Cleaned Data'!A:S,2,FALSE)</f>
        <v>GaN Fast Charger IC</v>
      </c>
      <c r="C11" s="12">
        <f>VLOOKUP(A11,'Cleaned Data'!$A:$S,4,FALSE)</f>
        <v>3850</v>
      </c>
      <c r="D11" s="12">
        <f>VLOOKUP(A11,'Cleaned Data'!$A:$S,6,FALSE)</f>
        <v>1169553</v>
      </c>
      <c r="E11" s="12" t="str">
        <f>VLOOKUP(A11,'Cleaned Data'!A:S,7,FALSE)</f>
        <v>BAR-009</v>
      </c>
      <c r="F11" s="12">
        <f>VLOOKUP(A11,'Cleaned Data'!$A:$S,9,FALSE)</f>
        <v>19</v>
      </c>
    </row>
    <row r="12" spans="1:6" x14ac:dyDescent="0.25">
      <c r="A12" s="2" t="s">
        <v>23</v>
      </c>
      <c r="B12" s="12" t="str">
        <f>VLOOKUP(A12,'Cleaned Data'!A:S,2,FALSE)</f>
        <v>GaAs RF Power Amp</v>
      </c>
      <c r="C12" s="12">
        <f>VLOOKUP(A12,'Cleaned Data'!$A:$S,4,FALSE)</f>
        <v>2600</v>
      </c>
      <c r="D12" s="12">
        <f>VLOOKUP(A12,'Cleaned Data'!$A:$S,6,FALSE)</f>
        <v>806494</v>
      </c>
      <c r="E12" s="12" t="str">
        <f>VLOOKUP(A12,'Cleaned Data'!A:S,7,FALSE)</f>
        <v>BAR-002</v>
      </c>
      <c r="F12" s="12">
        <f>VLOOKUP(A12,'Cleaned Data'!$A:$S,9,FALSE)</f>
        <v>33</v>
      </c>
    </row>
    <row r="13" spans="1:6" x14ac:dyDescent="0.25">
      <c r="A13" s="7" t="s">
        <v>59</v>
      </c>
      <c r="B13" s="12" t="str">
        <f>VLOOKUP(A13,'Cleaned Data'!A:S,2,FALSE)</f>
        <v>GaN Fast Charger IC</v>
      </c>
      <c r="C13" s="12">
        <f>VLOOKUP(A13,'Cleaned Data'!$A:$S,4,FALSE)</f>
        <v>3850</v>
      </c>
      <c r="D13" s="12">
        <f>VLOOKUP(A13,'Cleaned Data'!$A:$S,6,FALSE)</f>
        <v>1169553</v>
      </c>
      <c r="E13" s="12" t="str">
        <f>VLOOKUP(A13,'Cleaned Data'!A:S,7,FALSE)</f>
        <v>BAR-009</v>
      </c>
      <c r="F13" s="12">
        <f>VLOOKUP(A13,'Cleaned Data'!$A:$S,9,FALSE)</f>
        <v>19</v>
      </c>
    </row>
    <row r="14" spans="1:6" x14ac:dyDescent="0.25">
      <c r="A14" s="2" t="s">
        <v>30</v>
      </c>
      <c r="B14" s="12" t="str">
        <f>VLOOKUP(A14,'Cleaned Data'!A:S,2,FALSE)</f>
        <v>OLED Display Driver IC</v>
      </c>
      <c r="C14" s="12">
        <f>VLOOKUP(A14,'Cleaned Data'!$A:$S,4,FALSE)</f>
        <v>2900</v>
      </c>
      <c r="D14" s="12">
        <f>VLOOKUP(A14,'Cleaned Data'!$A:$S,6,FALSE)</f>
        <v>295713</v>
      </c>
      <c r="E14" s="12" t="str">
        <f>VLOOKUP(A14,'Cleaned Data'!A:S,7,FALSE)</f>
        <v>BAR-008</v>
      </c>
      <c r="F14" s="12">
        <f>VLOOKUP(A14,'Cleaned Data'!$A:$S,9,FALSE)</f>
        <v>27</v>
      </c>
    </row>
    <row r="15" spans="1:6" x14ac:dyDescent="0.25">
      <c r="A15" s="7" t="s">
        <v>30</v>
      </c>
      <c r="B15" s="12" t="str">
        <f>VLOOKUP(A15,'Cleaned Data'!A:S,2,FALSE)</f>
        <v>OLED Display Driver IC</v>
      </c>
      <c r="C15" s="12">
        <f>VLOOKUP(A15,'Cleaned Data'!$A:$S,4,FALSE)</f>
        <v>2900</v>
      </c>
      <c r="D15" s="12">
        <f>VLOOKUP(A15,'Cleaned Data'!$A:$S,6,FALSE)</f>
        <v>295713</v>
      </c>
      <c r="E15" s="12" t="str">
        <f>VLOOKUP(A15,'Cleaned Data'!A:S,7,FALSE)</f>
        <v>BAR-008</v>
      </c>
      <c r="F15" s="12">
        <f>VLOOKUP(A15,'Cleaned Data'!$A:$S,9,FALSE)</f>
        <v>27</v>
      </c>
    </row>
    <row r="16" spans="1:6" x14ac:dyDescent="0.25">
      <c r="A16" s="2" t="s">
        <v>23</v>
      </c>
      <c r="B16" s="12" t="str">
        <f>VLOOKUP(A16,'Cleaned Data'!A:S,2,FALSE)</f>
        <v>GaAs RF Power Amp</v>
      </c>
      <c r="C16" s="12">
        <f>VLOOKUP(A16,'Cleaned Data'!$A:$S,4,FALSE)</f>
        <v>2600</v>
      </c>
      <c r="D16" s="12">
        <f>VLOOKUP(A16,'Cleaned Data'!$A:$S,6,FALSE)</f>
        <v>806494</v>
      </c>
      <c r="E16" s="12" t="str">
        <f>VLOOKUP(A16,'Cleaned Data'!A:S,7,FALSE)</f>
        <v>BAR-002</v>
      </c>
      <c r="F16" s="12">
        <f>VLOOKUP(A16,'Cleaned Data'!$A:$S,9,FALSE)</f>
        <v>33</v>
      </c>
    </row>
    <row r="17" spans="1:6" x14ac:dyDescent="0.25">
      <c r="A17" s="7" t="s">
        <v>89</v>
      </c>
      <c r="B17" s="12" t="str">
        <f>VLOOKUP(A17,'Cleaned Data'!A:S,2,FALSE)</f>
        <v>NAND Flash 3D 128-Layer</v>
      </c>
      <c r="C17" s="12">
        <f>VLOOKUP(A17,'Cleaned Data'!$A:$S,4,FALSE)</f>
        <v>4750</v>
      </c>
      <c r="D17" s="12">
        <f>VLOOKUP(A17,'Cleaned Data'!$A:$S,6,FALSE)</f>
        <v>537225</v>
      </c>
      <c r="E17" s="12" t="str">
        <f>VLOOKUP(A17,'Cleaned Data'!A:S,7,FALSE)</f>
        <v>BAR-003</v>
      </c>
      <c r="F17" s="12">
        <f>VLOOKUP(A17,'Cleaned Data'!$A:$S,9,FALSE)</f>
        <v>18</v>
      </c>
    </row>
    <row r="18" spans="1:6" x14ac:dyDescent="0.25">
      <c r="A18" s="2" t="s">
        <v>59</v>
      </c>
      <c r="B18" s="12" t="str">
        <f>VLOOKUP(A18,'Cleaned Data'!A:S,2,FALSE)</f>
        <v>GaN Fast Charger IC</v>
      </c>
      <c r="C18" s="12">
        <f>VLOOKUP(A18,'Cleaned Data'!$A:$S,4,FALSE)</f>
        <v>3850</v>
      </c>
      <c r="D18" s="12">
        <f>VLOOKUP(A18,'Cleaned Data'!$A:$S,6,FALSE)</f>
        <v>1169553</v>
      </c>
      <c r="E18" s="12" t="str">
        <f>VLOOKUP(A18,'Cleaned Data'!A:S,7,FALSE)</f>
        <v>BAR-009</v>
      </c>
      <c r="F18" s="12">
        <f>VLOOKUP(A18,'Cleaned Data'!$A:$S,9,FALSE)</f>
        <v>19</v>
      </c>
    </row>
    <row r="19" spans="1:6" x14ac:dyDescent="0.25">
      <c r="A19" s="7" t="s">
        <v>67</v>
      </c>
      <c r="B19" s="12" t="str">
        <f>VLOOKUP(A19,'Cleaned Data'!A:S,2,FALSE)</f>
        <v>AI Accelerator GPU</v>
      </c>
      <c r="C19" s="12">
        <f>VLOOKUP(A19,'Cleaned Data'!$A:$S,4,FALSE)</f>
        <v>2100</v>
      </c>
      <c r="D19" s="12">
        <f>VLOOKUP(A19,'Cleaned Data'!$A:$S,6,FALSE)</f>
        <v>898905</v>
      </c>
      <c r="E19" s="12" t="str">
        <f>VLOOKUP(A19,'Cleaned Data'!A:S,7,FALSE)</f>
        <v>BAR-005</v>
      </c>
      <c r="F19" s="12">
        <f>VLOOKUP(A19,'Cleaned Data'!$A:$S,9,FALSE)</f>
        <v>39</v>
      </c>
    </row>
    <row r="20" spans="1:6" x14ac:dyDescent="0.25">
      <c r="A20" s="2" t="s">
        <v>45</v>
      </c>
      <c r="B20" s="12" t="str">
        <f>VLOOKUP(A20,'Cleaned Data'!A:S,2,FALSE)</f>
        <v>IGBT Power Module</v>
      </c>
      <c r="C20" s="12">
        <f>VLOOKUP(A20,'Cleaned Data'!$A:$S,4,FALSE)</f>
        <v>3300</v>
      </c>
      <c r="D20" s="12">
        <f>VLOOKUP(A20,'Cleaned Data'!$A:$S,6,FALSE)</f>
        <v>445995</v>
      </c>
      <c r="E20" s="12" t="str">
        <f>VLOOKUP(A20,'Cleaned Data'!A:S,7,FALSE)</f>
        <v>BAR-007</v>
      </c>
      <c r="F20" s="12">
        <f>VLOOKUP(A20,'Cleaned Data'!$A:$S,9,FALSE)</f>
        <v>41</v>
      </c>
    </row>
    <row r="21" spans="1:6" x14ac:dyDescent="0.25">
      <c r="A21" s="7" t="s">
        <v>30</v>
      </c>
      <c r="B21" s="12" t="str">
        <f>VLOOKUP(A21,'Cleaned Data'!A:S,2,FALSE)</f>
        <v>OLED Display Driver IC</v>
      </c>
      <c r="C21" s="12">
        <f>VLOOKUP(A21,'Cleaned Data'!$A:$S,4,FALSE)</f>
        <v>2900</v>
      </c>
      <c r="D21" s="12">
        <f>VLOOKUP(A21,'Cleaned Data'!$A:$S,6,FALSE)</f>
        <v>295713</v>
      </c>
      <c r="E21" s="12" t="str">
        <f>VLOOKUP(A21,'Cleaned Data'!A:S,7,FALSE)</f>
        <v>BAR-008</v>
      </c>
      <c r="F21" s="12">
        <f>VLOOKUP(A21,'Cleaned Data'!$A:$S,9,FALSE)</f>
        <v>27</v>
      </c>
    </row>
    <row r="22" spans="1:6" x14ac:dyDescent="0.25">
      <c r="A22" s="2" t="s">
        <v>89</v>
      </c>
      <c r="B22" s="12" t="str">
        <f>VLOOKUP(A22,'Cleaned Data'!A:S,2,FALSE)</f>
        <v>NAND Flash 3D 128-Layer</v>
      </c>
      <c r="C22" s="12">
        <f>VLOOKUP(A22,'Cleaned Data'!$A:$S,4,FALSE)</f>
        <v>4750</v>
      </c>
      <c r="D22" s="12">
        <f>VLOOKUP(A22,'Cleaned Data'!$A:$S,6,FALSE)</f>
        <v>537225</v>
      </c>
      <c r="E22" s="12" t="str">
        <f>VLOOKUP(A22,'Cleaned Data'!A:S,7,FALSE)</f>
        <v>BAR-003</v>
      </c>
      <c r="F22" s="12">
        <f>VLOOKUP(A22,'Cleaned Data'!$A:$S,9,FALSE)</f>
        <v>18</v>
      </c>
    </row>
    <row r="23" spans="1:6" x14ac:dyDescent="0.25">
      <c r="A23" s="7" t="s">
        <v>106</v>
      </c>
      <c r="B23" s="12" t="str">
        <f>VLOOKUP(A23,'Cleaned Data'!A:S,2,FALSE)</f>
        <v>MEMS Pressure Sensor</v>
      </c>
      <c r="C23" s="12">
        <f>VLOOKUP(A23,'Cleaned Data'!$A:$S,4,FALSE)</f>
        <v>4050</v>
      </c>
      <c r="D23" s="12">
        <f>VLOOKUP(A23,'Cleaned Data'!$A:$S,6,FALSE)</f>
        <v>880632</v>
      </c>
      <c r="E23" s="12" t="str">
        <f>VLOOKUP(A23,'Cleaned Data'!A:S,7,FALSE)</f>
        <v>BAR-006</v>
      </c>
      <c r="F23" s="12">
        <f>VLOOKUP(A23,'Cleaned Data'!$A:$S,9,FALSE)</f>
        <v>34</v>
      </c>
    </row>
    <row r="24" spans="1:6" x14ac:dyDescent="0.25">
      <c r="A24" s="2" t="s">
        <v>45</v>
      </c>
      <c r="B24" s="12" t="str">
        <f>VLOOKUP(A24,'Cleaned Data'!A:S,2,FALSE)</f>
        <v>IGBT Power Module</v>
      </c>
      <c r="C24" s="12">
        <f>VLOOKUP(A24,'Cleaned Data'!$A:$S,4,FALSE)</f>
        <v>3300</v>
      </c>
      <c r="D24" s="12">
        <f>VLOOKUP(A24,'Cleaned Data'!$A:$S,6,FALSE)</f>
        <v>445995</v>
      </c>
      <c r="E24" s="12" t="str">
        <f>VLOOKUP(A24,'Cleaned Data'!A:S,7,FALSE)</f>
        <v>BAR-007</v>
      </c>
      <c r="F24" s="12">
        <f>VLOOKUP(A24,'Cleaned Data'!$A:$S,9,FALSE)</f>
        <v>41</v>
      </c>
    </row>
    <row r="25" spans="1:6" x14ac:dyDescent="0.25">
      <c r="A25" s="7" t="s">
        <v>53</v>
      </c>
      <c r="B25" s="12" t="str">
        <f>VLOOKUP(A25,'Cleaned Data'!A:S,2,FALSE)</f>
        <v>Silicon Wafer 300mm</v>
      </c>
      <c r="C25" s="12">
        <f>VLOOKUP(A25,'Cleaned Data'!$A:$S,4,FALSE)</f>
        <v>4650</v>
      </c>
      <c r="D25" s="12">
        <f>VLOOKUP(A25,'Cleaned Data'!$A:$S,6,FALSE)</f>
        <v>389158.5</v>
      </c>
      <c r="E25" s="12" t="str">
        <f>VLOOKUP(A25,'Cleaned Data'!A:S,7,FALSE)</f>
        <v>BAR-001</v>
      </c>
      <c r="F25" s="12">
        <f>VLOOKUP(A25,'Cleaned Data'!$A:$S,9,FALSE)</f>
        <v>17</v>
      </c>
    </row>
    <row r="26" spans="1:6" x14ac:dyDescent="0.25">
      <c r="A26" s="2" t="s">
        <v>23</v>
      </c>
      <c r="B26" s="12" t="str">
        <f>VLOOKUP(A26,'Cleaned Data'!A:S,2,FALSE)</f>
        <v>GaAs RF Power Amp</v>
      </c>
      <c r="C26" s="12">
        <f>VLOOKUP(A26,'Cleaned Data'!$A:$S,4,FALSE)</f>
        <v>2600</v>
      </c>
      <c r="D26" s="12">
        <f>VLOOKUP(A26,'Cleaned Data'!$A:$S,6,FALSE)</f>
        <v>806494</v>
      </c>
      <c r="E26" s="12" t="str">
        <f>VLOOKUP(A26,'Cleaned Data'!A:S,7,FALSE)</f>
        <v>BAR-002</v>
      </c>
      <c r="F26" s="12">
        <f>VLOOKUP(A26,'Cleaned Data'!$A:$S,9,FALSE)</f>
        <v>33</v>
      </c>
    </row>
    <row r="27" spans="1:6" x14ac:dyDescent="0.25">
      <c r="A27" s="7" t="s">
        <v>59</v>
      </c>
      <c r="B27" s="12" t="str">
        <f>VLOOKUP(A27,'Cleaned Data'!A:S,2,FALSE)</f>
        <v>GaN Fast Charger IC</v>
      </c>
      <c r="C27" s="12">
        <f>VLOOKUP(A27,'Cleaned Data'!$A:$S,4,FALSE)</f>
        <v>3850</v>
      </c>
      <c r="D27" s="12">
        <f>VLOOKUP(A27,'Cleaned Data'!$A:$S,6,FALSE)</f>
        <v>1169553</v>
      </c>
      <c r="E27" s="12" t="str">
        <f>VLOOKUP(A27,'Cleaned Data'!A:S,7,FALSE)</f>
        <v>BAR-009</v>
      </c>
      <c r="F27" s="12">
        <f>VLOOKUP(A27,'Cleaned Data'!$A:$S,9,FALSE)</f>
        <v>19</v>
      </c>
    </row>
    <row r="28" spans="1:6" x14ac:dyDescent="0.25">
      <c r="A28" s="2" t="s">
        <v>89</v>
      </c>
      <c r="B28" s="12" t="str">
        <f>VLOOKUP(A28,'Cleaned Data'!A:S,2,FALSE)</f>
        <v>NAND Flash 3D 128-Layer</v>
      </c>
      <c r="C28" s="12">
        <f>VLOOKUP(A28,'Cleaned Data'!$A:$S,4,FALSE)</f>
        <v>4750</v>
      </c>
      <c r="D28" s="12">
        <f>VLOOKUP(A28,'Cleaned Data'!$A:$S,6,FALSE)</f>
        <v>537225</v>
      </c>
      <c r="E28" s="12" t="str">
        <f>VLOOKUP(A28,'Cleaned Data'!A:S,7,FALSE)</f>
        <v>BAR-003</v>
      </c>
      <c r="F28" s="12">
        <f>VLOOKUP(A28,'Cleaned Data'!$A:$S,9,FALSE)</f>
        <v>18</v>
      </c>
    </row>
    <row r="29" spans="1:6" x14ac:dyDescent="0.25">
      <c r="A29" s="7" t="s">
        <v>23</v>
      </c>
      <c r="B29" s="12" t="str">
        <f>VLOOKUP(A29,'Cleaned Data'!A:S,2,FALSE)</f>
        <v>GaAs RF Power Amp</v>
      </c>
      <c r="C29" s="12">
        <f>VLOOKUP(A29,'Cleaned Data'!$A:$S,4,FALSE)</f>
        <v>2600</v>
      </c>
      <c r="D29" s="12">
        <f>VLOOKUP(A29,'Cleaned Data'!$A:$S,6,FALSE)</f>
        <v>806494</v>
      </c>
      <c r="E29" s="12" t="str">
        <f>VLOOKUP(A29,'Cleaned Data'!A:S,7,FALSE)</f>
        <v>BAR-002</v>
      </c>
      <c r="F29" s="12">
        <f>VLOOKUP(A29,'Cleaned Data'!$A:$S,9,FALSE)</f>
        <v>33</v>
      </c>
    </row>
    <row r="30" spans="1:6" x14ac:dyDescent="0.25">
      <c r="A30" s="2" t="s">
        <v>14</v>
      </c>
      <c r="B30" s="12" t="str">
        <f>VLOOKUP(A30,'Cleaned Data'!A:S,2,FALSE)</f>
        <v>CMOS Image Sensor (CIS)</v>
      </c>
      <c r="C30" s="12">
        <f>VLOOKUP(A30,'Cleaned Data'!$A:$S,4,FALSE)</f>
        <v>2200</v>
      </c>
      <c r="D30" s="12">
        <f>VLOOKUP(A30,'Cleaned Data'!$A:$S,6,FALSE)</f>
        <v>320584</v>
      </c>
      <c r="E30" s="12" t="str">
        <f>VLOOKUP(A30,'Cleaned Data'!A:S,7,FALSE)</f>
        <v>BAR-010</v>
      </c>
      <c r="F30" s="12">
        <f>VLOOKUP(A30,'Cleaned Data'!$A:$S,9,FALSE)</f>
        <v>13</v>
      </c>
    </row>
    <row r="31" spans="1:6" x14ac:dyDescent="0.25">
      <c r="A31" s="7" t="s">
        <v>14</v>
      </c>
      <c r="B31" s="12" t="str">
        <f>VLOOKUP(A31,'Cleaned Data'!A:S,2,FALSE)</f>
        <v>CMOS Image Sensor (CIS)</v>
      </c>
      <c r="C31" s="12">
        <f>VLOOKUP(A31,'Cleaned Data'!$A:$S,4,FALSE)</f>
        <v>2200</v>
      </c>
      <c r="D31" s="12">
        <f>VLOOKUP(A31,'Cleaned Data'!$A:$S,6,FALSE)</f>
        <v>320584</v>
      </c>
      <c r="E31" s="12" t="str">
        <f>VLOOKUP(A31,'Cleaned Data'!A:S,7,FALSE)</f>
        <v>BAR-010</v>
      </c>
      <c r="F31" s="12">
        <f>VLOOKUP(A31,'Cleaned Data'!$A:$S,9,FALSE)</f>
        <v>13</v>
      </c>
    </row>
    <row r="32" spans="1:6" x14ac:dyDescent="0.25">
      <c r="A32" s="2" t="s">
        <v>53</v>
      </c>
      <c r="B32" s="12" t="str">
        <f>VLOOKUP(A32,'Cleaned Data'!A:S,2,FALSE)</f>
        <v>Silicon Wafer 300mm</v>
      </c>
      <c r="C32" s="12">
        <f>VLOOKUP(A32,'Cleaned Data'!$A:$S,4,FALSE)</f>
        <v>4650</v>
      </c>
      <c r="D32" s="12">
        <f>VLOOKUP(A32,'Cleaned Data'!$A:$S,6,FALSE)</f>
        <v>389158.5</v>
      </c>
      <c r="E32" s="12" t="str">
        <f>VLOOKUP(A32,'Cleaned Data'!A:S,7,FALSE)</f>
        <v>BAR-001</v>
      </c>
      <c r="F32" s="12">
        <f>VLOOKUP(A32,'Cleaned Data'!$A:$S,9,FALSE)</f>
        <v>17</v>
      </c>
    </row>
    <row r="33" spans="1:6" x14ac:dyDescent="0.25">
      <c r="A33" s="7" t="s">
        <v>53</v>
      </c>
      <c r="B33" s="12" t="str">
        <f>VLOOKUP(A33,'Cleaned Data'!A:S,2,FALSE)</f>
        <v>Silicon Wafer 300mm</v>
      </c>
      <c r="C33" s="12">
        <f>VLOOKUP(A33,'Cleaned Data'!$A:$S,4,FALSE)</f>
        <v>4650</v>
      </c>
      <c r="D33" s="12">
        <f>VLOOKUP(A33,'Cleaned Data'!$A:$S,6,FALSE)</f>
        <v>389158.5</v>
      </c>
      <c r="E33" s="12" t="str">
        <f>VLOOKUP(A33,'Cleaned Data'!A:S,7,FALSE)</f>
        <v>BAR-001</v>
      </c>
      <c r="F33" s="12">
        <f>VLOOKUP(A33,'Cleaned Data'!$A:$S,9,FALSE)</f>
        <v>17</v>
      </c>
    </row>
    <row r="34" spans="1:6" x14ac:dyDescent="0.25">
      <c r="A34" s="2" t="s">
        <v>53</v>
      </c>
      <c r="B34" s="12" t="str">
        <f>VLOOKUP(A34,'Cleaned Data'!A:S,2,FALSE)</f>
        <v>Silicon Wafer 300mm</v>
      </c>
      <c r="C34" s="12">
        <f>VLOOKUP(A34,'Cleaned Data'!$A:$S,4,FALSE)</f>
        <v>4650</v>
      </c>
      <c r="D34" s="12">
        <f>VLOOKUP(A34,'Cleaned Data'!$A:$S,6,FALSE)</f>
        <v>389158.5</v>
      </c>
      <c r="E34" s="12" t="str">
        <f>VLOOKUP(A34,'Cleaned Data'!A:S,7,FALSE)</f>
        <v>BAR-001</v>
      </c>
      <c r="F34" s="12">
        <f>VLOOKUP(A34,'Cleaned Data'!$A:$S,9,FALSE)</f>
        <v>17</v>
      </c>
    </row>
    <row r="35" spans="1:6" x14ac:dyDescent="0.25">
      <c r="A35" s="7" t="s">
        <v>30</v>
      </c>
      <c r="B35" s="12" t="str">
        <f>VLOOKUP(A35,'Cleaned Data'!A:S,2,FALSE)</f>
        <v>OLED Display Driver IC</v>
      </c>
      <c r="C35" s="12">
        <f>VLOOKUP(A35,'Cleaned Data'!$A:$S,4,FALSE)</f>
        <v>2900</v>
      </c>
      <c r="D35" s="12">
        <f>VLOOKUP(A35,'Cleaned Data'!$A:$S,6,FALSE)</f>
        <v>295713</v>
      </c>
      <c r="E35" s="12" t="str">
        <f>VLOOKUP(A35,'Cleaned Data'!A:S,7,FALSE)</f>
        <v>BAR-008</v>
      </c>
      <c r="F35" s="12">
        <f>VLOOKUP(A35,'Cleaned Data'!$A:$S,9,FALSE)</f>
        <v>27</v>
      </c>
    </row>
    <row r="36" spans="1:6" x14ac:dyDescent="0.25">
      <c r="A36" s="2" t="s">
        <v>23</v>
      </c>
      <c r="B36" s="12" t="str">
        <f>VLOOKUP(A36,'Cleaned Data'!A:S,2,FALSE)</f>
        <v>GaAs RF Power Amp</v>
      </c>
      <c r="C36" s="12">
        <f>VLOOKUP(A36,'Cleaned Data'!$A:$S,4,FALSE)</f>
        <v>2600</v>
      </c>
      <c r="D36" s="12">
        <f>VLOOKUP(A36,'Cleaned Data'!$A:$S,6,FALSE)</f>
        <v>806494</v>
      </c>
      <c r="E36" s="12" t="str">
        <f>VLOOKUP(A36,'Cleaned Data'!A:S,7,FALSE)</f>
        <v>BAR-002</v>
      </c>
      <c r="F36" s="12">
        <f>VLOOKUP(A36,'Cleaned Data'!$A:$S,9,FALSE)</f>
        <v>33</v>
      </c>
    </row>
    <row r="37" spans="1:6" x14ac:dyDescent="0.25">
      <c r="A37" s="7" t="s">
        <v>37</v>
      </c>
      <c r="B37" s="12" t="str">
        <f>VLOOKUP(A37,'Cleaned Data'!A:S,2,FALSE)</f>
        <v>Automotive MCU (16-bit)</v>
      </c>
      <c r="C37" s="12">
        <f>VLOOKUP(A37,'Cleaned Data'!$A:$S,4,FALSE)</f>
        <v>4400</v>
      </c>
      <c r="D37" s="12">
        <f>VLOOKUP(A37,'Cleaned Data'!$A:$S,6,FALSE)</f>
        <v>401060</v>
      </c>
      <c r="E37" s="12" t="str">
        <f>VLOOKUP(A37,'Cleaned Data'!A:S,7,FALSE)</f>
        <v>BAR-004</v>
      </c>
      <c r="F37" s="12">
        <f>VLOOKUP(A37,'Cleaned Data'!$A:$S,9,FALSE)</f>
        <v>33</v>
      </c>
    </row>
    <row r="38" spans="1:6" x14ac:dyDescent="0.25">
      <c r="A38" s="2" t="s">
        <v>106</v>
      </c>
      <c r="B38" s="12" t="str">
        <f>VLOOKUP(A38,'Cleaned Data'!A:S,2,FALSE)</f>
        <v>MEMS Pressure Sensor</v>
      </c>
      <c r="C38" s="12">
        <f>VLOOKUP(A38,'Cleaned Data'!$A:$S,4,FALSE)</f>
        <v>4050</v>
      </c>
      <c r="D38" s="12">
        <f>VLOOKUP(A38,'Cleaned Data'!$A:$S,6,FALSE)</f>
        <v>880632</v>
      </c>
      <c r="E38" s="12" t="str">
        <f>VLOOKUP(A38,'Cleaned Data'!A:S,7,FALSE)</f>
        <v>BAR-006</v>
      </c>
      <c r="F38" s="12">
        <f>VLOOKUP(A38,'Cleaned Data'!$A:$S,9,FALSE)</f>
        <v>34</v>
      </c>
    </row>
    <row r="39" spans="1:6" x14ac:dyDescent="0.25">
      <c r="A39" s="7" t="s">
        <v>37</v>
      </c>
      <c r="B39" s="12" t="str">
        <f>VLOOKUP(A39,'Cleaned Data'!A:S,2,FALSE)</f>
        <v>Automotive MCU (16-bit)</v>
      </c>
      <c r="C39" s="12">
        <f>VLOOKUP(A39,'Cleaned Data'!$A:$S,4,FALSE)</f>
        <v>4400</v>
      </c>
      <c r="D39" s="12">
        <f>VLOOKUP(A39,'Cleaned Data'!$A:$S,6,FALSE)</f>
        <v>401060</v>
      </c>
      <c r="E39" s="12" t="str">
        <f>VLOOKUP(A39,'Cleaned Data'!A:S,7,FALSE)</f>
        <v>BAR-004</v>
      </c>
      <c r="F39" s="12">
        <f>VLOOKUP(A39,'Cleaned Data'!$A:$S,9,FALSE)</f>
        <v>33</v>
      </c>
    </row>
    <row r="40" spans="1:6" x14ac:dyDescent="0.25">
      <c r="A40" s="2" t="s">
        <v>67</v>
      </c>
      <c r="B40" s="12" t="str">
        <f>VLOOKUP(A40,'Cleaned Data'!A:S,2,FALSE)</f>
        <v>AI Accelerator GPU</v>
      </c>
      <c r="C40" s="12">
        <f>VLOOKUP(A40,'Cleaned Data'!$A:$S,4,FALSE)</f>
        <v>2100</v>
      </c>
      <c r="D40" s="12">
        <f>VLOOKUP(A40,'Cleaned Data'!$A:$S,6,FALSE)</f>
        <v>898905</v>
      </c>
      <c r="E40" s="12" t="str">
        <f>VLOOKUP(A40,'Cleaned Data'!A:S,7,FALSE)</f>
        <v>BAR-005</v>
      </c>
      <c r="F40" s="12">
        <f>VLOOKUP(A40,'Cleaned Data'!$A:$S,9,FALSE)</f>
        <v>39</v>
      </c>
    </row>
    <row r="41" spans="1:6" x14ac:dyDescent="0.25">
      <c r="A41" s="7" t="s">
        <v>23</v>
      </c>
      <c r="B41" s="12" t="str">
        <f>VLOOKUP(A41,'Cleaned Data'!A:S,2,FALSE)</f>
        <v>GaAs RF Power Amp</v>
      </c>
      <c r="C41" s="12">
        <f>VLOOKUP(A41,'Cleaned Data'!$A:$S,4,FALSE)</f>
        <v>2600</v>
      </c>
      <c r="D41" s="12">
        <f>VLOOKUP(A41,'Cleaned Data'!$A:$S,6,FALSE)</f>
        <v>806494</v>
      </c>
      <c r="E41" s="12" t="str">
        <f>VLOOKUP(A41,'Cleaned Data'!A:S,7,FALSE)</f>
        <v>BAR-002</v>
      </c>
      <c r="F41" s="12">
        <f>VLOOKUP(A41,'Cleaned Data'!$A:$S,9,FALSE)</f>
        <v>33</v>
      </c>
    </row>
    <row r="42" spans="1:6" x14ac:dyDescent="0.25">
      <c r="A42" s="2" t="s">
        <v>59</v>
      </c>
      <c r="B42" s="12" t="str">
        <f>VLOOKUP(A42,'Cleaned Data'!A:S,2,FALSE)</f>
        <v>GaN Fast Charger IC</v>
      </c>
      <c r="C42" s="12">
        <f>VLOOKUP(A42,'Cleaned Data'!$A:$S,4,FALSE)</f>
        <v>3850</v>
      </c>
      <c r="D42" s="12">
        <f>VLOOKUP(A42,'Cleaned Data'!$A:$S,6,FALSE)</f>
        <v>1169553</v>
      </c>
      <c r="E42" s="12" t="str">
        <f>VLOOKUP(A42,'Cleaned Data'!A:S,7,FALSE)</f>
        <v>BAR-009</v>
      </c>
      <c r="F42" s="12">
        <f>VLOOKUP(A42,'Cleaned Data'!$A:$S,9,FALSE)</f>
        <v>19</v>
      </c>
    </row>
    <row r="43" spans="1:6" x14ac:dyDescent="0.25">
      <c r="A43" s="7" t="s">
        <v>14</v>
      </c>
      <c r="B43" s="12" t="str">
        <f>VLOOKUP(A43,'Cleaned Data'!A:S,2,FALSE)</f>
        <v>CMOS Image Sensor (CIS)</v>
      </c>
      <c r="C43" s="12">
        <f>VLOOKUP(A43,'Cleaned Data'!$A:$S,4,FALSE)</f>
        <v>2200</v>
      </c>
      <c r="D43" s="12">
        <f>VLOOKUP(A43,'Cleaned Data'!$A:$S,6,FALSE)</f>
        <v>320584</v>
      </c>
      <c r="E43" s="12" t="str">
        <f>VLOOKUP(A43,'Cleaned Data'!A:S,7,FALSE)</f>
        <v>BAR-010</v>
      </c>
      <c r="F43" s="12">
        <f>VLOOKUP(A43,'Cleaned Data'!$A:$S,9,FALSE)</f>
        <v>13</v>
      </c>
    </row>
    <row r="44" spans="1:6" x14ac:dyDescent="0.25">
      <c r="A44" s="2" t="s">
        <v>30</v>
      </c>
      <c r="B44" s="12" t="str">
        <f>VLOOKUP(A44,'Cleaned Data'!A:S,2,FALSE)</f>
        <v>OLED Display Driver IC</v>
      </c>
      <c r="C44" s="12">
        <f>VLOOKUP(A44,'Cleaned Data'!$A:$S,4,FALSE)</f>
        <v>2900</v>
      </c>
      <c r="D44" s="12">
        <f>VLOOKUP(A44,'Cleaned Data'!$A:$S,6,FALSE)</f>
        <v>295713</v>
      </c>
      <c r="E44" s="12" t="str">
        <f>VLOOKUP(A44,'Cleaned Data'!A:S,7,FALSE)</f>
        <v>BAR-008</v>
      </c>
      <c r="F44" s="12">
        <f>VLOOKUP(A44,'Cleaned Data'!$A:$S,9,FALSE)</f>
        <v>27</v>
      </c>
    </row>
    <row r="45" spans="1:6" x14ac:dyDescent="0.25">
      <c r="A45" s="7" t="s">
        <v>45</v>
      </c>
      <c r="B45" s="12" t="str">
        <f>VLOOKUP(A45,'Cleaned Data'!A:S,2,FALSE)</f>
        <v>IGBT Power Module</v>
      </c>
      <c r="C45" s="12">
        <f>VLOOKUP(A45,'Cleaned Data'!$A:$S,4,FALSE)</f>
        <v>3300</v>
      </c>
      <c r="D45" s="12">
        <f>VLOOKUP(A45,'Cleaned Data'!$A:$S,6,FALSE)</f>
        <v>445995</v>
      </c>
      <c r="E45" s="12" t="str">
        <f>VLOOKUP(A45,'Cleaned Data'!A:S,7,FALSE)</f>
        <v>BAR-007</v>
      </c>
      <c r="F45" s="12">
        <f>VLOOKUP(A45,'Cleaned Data'!$A:$S,9,FALSE)</f>
        <v>41</v>
      </c>
    </row>
    <row r="46" spans="1:6" x14ac:dyDescent="0.25">
      <c r="A46" s="2" t="s">
        <v>89</v>
      </c>
      <c r="B46" s="12" t="str">
        <f>VLOOKUP(A46,'Cleaned Data'!A:S,2,FALSE)</f>
        <v>NAND Flash 3D 128-Layer</v>
      </c>
      <c r="C46" s="12">
        <f>VLOOKUP(A46,'Cleaned Data'!$A:$S,4,FALSE)</f>
        <v>4750</v>
      </c>
      <c r="D46" s="12">
        <f>VLOOKUP(A46,'Cleaned Data'!$A:$S,6,FALSE)</f>
        <v>537225</v>
      </c>
      <c r="E46" s="12" t="str">
        <f>VLOOKUP(A46,'Cleaned Data'!A:S,7,FALSE)</f>
        <v>BAR-003</v>
      </c>
      <c r="F46" s="12">
        <f>VLOOKUP(A46,'Cleaned Data'!$A:$S,9,FALSE)</f>
        <v>18</v>
      </c>
    </row>
    <row r="47" spans="1:6" x14ac:dyDescent="0.25">
      <c r="A47" s="7" t="s">
        <v>30</v>
      </c>
      <c r="B47" s="12" t="str">
        <f>VLOOKUP(A47,'Cleaned Data'!A:S,2,FALSE)</f>
        <v>OLED Display Driver IC</v>
      </c>
      <c r="C47" s="12">
        <f>VLOOKUP(A47,'Cleaned Data'!$A:$S,4,FALSE)</f>
        <v>2900</v>
      </c>
      <c r="D47" s="12">
        <f>VLOOKUP(A47,'Cleaned Data'!$A:$S,6,FALSE)</f>
        <v>295713</v>
      </c>
      <c r="E47" s="12" t="str">
        <f>VLOOKUP(A47,'Cleaned Data'!A:S,7,FALSE)</f>
        <v>BAR-008</v>
      </c>
      <c r="F47" s="12">
        <f>VLOOKUP(A47,'Cleaned Data'!$A:$S,9,FALSE)</f>
        <v>27</v>
      </c>
    </row>
    <row r="48" spans="1:6" x14ac:dyDescent="0.25">
      <c r="A48" s="2" t="s">
        <v>14</v>
      </c>
      <c r="B48" s="12" t="str">
        <f>VLOOKUP(A48,'Cleaned Data'!A:S,2,FALSE)</f>
        <v>CMOS Image Sensor (CIS)</v>
      </c>
      <c r="C48" s="12">
        <f>VLOOKUP(A48,'Cleaned Data'!$A:$S,4,FALSE)</f>
        <v>2200</v>
      </c>
      <c r="D48" s="12">
        <f>VLOOKUP(A48,'Cleaned Data'!$A:$S,6,FALSE)</f>
        <v>320584</v>
      </c>
      <c r="E48" s="12" t="str">
        <f>VLOOKUP(A48,'Cleaned Data'!A:S,7,FALSE)</f>
        <v>BAR-010</v>
      </c>
      <c r="F48" s="12">
        <f>VLOOKUP(A48,'Cleaned Data'!$A:$S,9,FALSE)</f>
        <v>13</v>
      </c>
    </row>
    <row r="49" spans="1:6" x14ac:dyDescent="0.25">
      <c r="A49" s="7" t="s">
        <v>89</v>
      </c>
      <c r="B49" s="12" t="str">
        <f>VLOOKUP(A49,'Cleaned Data'!A:S,2,FALSE)</f>
        <v>NAND Flash 3D 128-Layer</v>
      </c>
      <c r="C49" s="12">
        <f>VLOOKUP(A49,'Cleaned Data'!$A:$S,4,FALSE)</f>
        <v>4750</v>
      </c>
      <c r="D49" s="12">
        <f>VLOOKUP(A49,'Cleaned Data'!$A:$S,6,FALSE)</f>
        <v>537225</v>
      </c>
      <c r="E49" s="12" t="str">
        <f>VLOOKUP(A49,'Cleaned Data'!A:S,7,FALSE)</f>
        <v>BAR-003</v>
      </c>
      <c r="F49" s="12">
        <f>VLOOKUP(A49,'Cleaned Data'!$A:$S,9,FALSE)</f>
        <v>18</v>
      </c>
    </row>
    <row r="50" spans="1:6" x14ac:dyDescent="0.25">
      <c r="A50" s="2" t="s">
        <v>14</v>
      </c>
      <c r="B50" s="12" t="str">
        <f>VLOOKUP(A50,'Cleaned Data'!A:S,2,FALSE)</f>
        <v>CMOS Image Sensor (CIS)</v>
      </c>
      <c r="C50" s="12">
        <f>VLOOKUP(A50,'Cleaned Data'!$A:$S,4,FALSE)</f>
        <v>2200</v>
      </c>
      <c r="D50" s="12">
        <f>VLOOKUP(A50,'Cleaned Data'!$A:$S,6,FALSE)</f>
        <v>320584</v>
      </c>
      <c r="E50" s="12" t="str">
        <f>VLOOKUP(A50,'Cleaned Data'!A:S,7,FALSE)</f>
        <v>BAR-010</v>
      </c>
      <c r="F50" s="12">
        <f>VLOOKUP(A50,'Cleaned Data'!$A:$S,9,FALSE)</f>
        <v>13</v>
      </c>
    </row>
    <row r="51" spans="1:6" x14ac:dyDescent="0.25">
      <c r="A51" s="7" t="s">
        <v>89</v>
      </c>
      <c r="B51" s="12" t="str">
        <f>VLOOKUP(A51,'Cleaned Data'!A:S,2,FALSE)</f>
        <v>NAND Flash 3D 128-Layer</v>
      </c>
      <c r="C51" s="12">
        <f>VLOOKUP(A51,'Cleaned Data'!$A:$S,4,FALSE)</f>
        <v>4750</v>
      </c>
      <c r="D51" s="12">
        <f>VLOOKUP(A51,'Cleaned Data'!$A:$S,6,FALSE)</f>
        <v>537225</v>
      </c>
      <c r="E51" s="12" t="str">
        <f>VLOOKUP(A51,'Cleaned Data'!A:S,7,FALSE)</f>
        <v>BAR-003</v>
      </c>
      <c r="F51" s="12">
        <f>VLOOKUP(A51,'Cleaned Data'!$A:$S,9,FALSE)</f>
        <v>18</v>
      </c>
    </row>
    <row r="52" spans="1:6" x14ac:dyDescent="0.25">
      <c r="A52" s="2" t="s">
        <v>53</v>
      </c>
      <c r="B52" s="12" t="str">
        <f>VLOOKUP(A52,'Cleaned Data'!A:S,2,FALSE)</f>
        <v>Silicon Wafer 300mm</v>
      </c>
      <c r="C52" s="12">
        <f>VLOOKUP(A52,'Cleaned Data'!$A:$S,4,FALSE)</f>
        <v>4650</v>
      </c>
      <c r="D52" s="12">
        <f>VLOOKUP(A52,'Cleaned Data'!$A:$S,6,FALSE)</f>
        <v>389158.5</v>
      </c>
      <c r="E52" s="12" t="str">
        <f>VLOOKUP(A52,'Cleaned Data'!A:S,7,FALSE)</f>
        <v>BAR-001</v>
      </c>
      <c r="F52" s="12">
        <f>VLOOKUP(A52,'Cleaned Data'!$A:$S,9,FALSE)</f>
        <v>17</v>
      </c>
    </row>
    <row r="53" spans="1:6" x14ac:dyDescent="0.25">
      <c r="A53" s="7" t="s">
        <v>59</v>
      </c>
      <c r="B53" s="12" t="str">
        <f>VLOOKUP(A53,'Cleaned Data'!A:S,2,FALSE)</f>
        <v>GaN Fast Charger IC</v>
      </c>
      <c r="C53" s="12">
        <f>VLOOKUP(A53,'Cleaned Data'!$A:$S,4,FALSE)</f>
        <v>3850</v>
      </c>
      <c r="D53" s="12">
        <f>VLOOKUP(A53,'Cleaned Data'!$A:$S,6,FALSE)</f>
        <v>1169553</v>
      </c>
      <c r="E53" s="12" t="str">
        <f>VLOOKUP(A53,'Cleaned Data'!A:S,7,FALSE)</f>
        <v>BAR-009</v>
      </c>
      <c r="F53" s="12">
        <f>VLOOKUP(A53,'Cleaned Data'!$A:$S,9,FALSE)</f>
        <v>19</v>
      </c>
    </row>
    <row r="54" spans="1:6" x14ac:dyDescent="0.25">
      <c r="A54" s="2" t="s">
        <v>67</v>
      </c>
      <c r="B54" s="12" t="str">
        <f>VLOOKUP(A54,'Cleaned Data'!A:S,2,FALSE)</f>
        <v>AI Accelerator GPU</v>
      </c>
      <c r="C54" s="12">
        <f>VLOOKUP(A54,'Cleaned Data'!$A:$S,4,FALSE)</f>
        <v>2100</v>
      </c>
      <c r="D54" s="12">
        <f>VLOOKUP(A54,'Cleaned Data'!$A:$S,6,FALSE)</f>
        <v>898905</v>
      </c>
      <c r="E54" s="12" t="str">
        <f>VLOOKUP(A54,'Cleaned Data'!A:S,7,FALSE)</f>
        <v>BAR-005</v>
      </c>
      <c r="F54" s="12">
        <f>VLOOKUP(A54,'Cleaned Data'!$A:$S,9,FALSE)</f>
        <v>39</v>
      </c>
    </row>
    <row r="55" spans="1:6" x14ac:dyDescent="0.25">
      <c r="A55" s="7" t="s">
        <v>67</v>
      </c>
      <c r="B55" s="12" t="str">
        <f>VLOOKUP(A55,'Cleaned Data'!A:S,2,FALSE)</f>
        <v>AI Accelerator GPU</v>
      </c>
      <c r="C55" s="12">
        <f>VLOOKUP(A55,'Cleaned Data'!$A:$S,4,FALSE)</f>
        <v>2100</v>
      </c>
      <c r="D55" s="12">
        <f>VLOOKUP(A55,'Cleaned Data'!$A:$S,6,FALSE)</f>
        <v>898905</v>
      </c>
      <c r="E55" s="12" t="str">
        <f>VLOOKUP(A55,'Cleaned Data'!A:S,7,FALSE)</f>
        <v>BAR-005</v>
      </c>
      <c r="F55" s="12">
        <f>VLOOKUP(A55,'Cleaned Data'!$A:$S,9,FALSE)</f>
        <v>39</v>
      </c>
    </row>
    <row r="56" spans="1:6" x14ac:dyDescent="0.25">
      <c r="A56" s="2" t="s">
        <v>14</v>
      </c>
      <c r="B56" s="12" t="str">
        <f>VLOOKUP(A56,'Cleaned Data'!A:S,2,FALSE)</f>
        <v>CMOS Image Sensor (CIS)</v>
      </c>
      <c r="C56" s="12">
        <f>VLOOKUP(A56,'Cleaned Data'!$A:$S,4,FALSE)</f>
        <v>2200</v>
      </c>
      <c r="D56" s="12">
        <f>VLOOKUP(A56,'Cleaned Data'!$A:$S,6,FALSE)</f>
        <v>320584</v>
      </c>
      <c r="E56" s="12" t="str">
        <f>VLOOKUP(A56,'Cleaned Data'!A:S,7,FALSE)</f>
        <v>BAR-010</v>
      </c>
      <c r="F56" s="12">
        <f>VLOOKUP(A56,'Cleaned Data'!$A:$S,9,FALSE)</f>
        <v>13</v>
      </c>
    </row>
    <row r="57" spans="1:6" x14ac:dyDescent="0.25">
      <c r="A57" s="7" t="s">
        <v>45</v>
      </c>
      <c r="B57" s="12" t="str">
        <f>VLOOKUP(A57,'Cleaned Data'!A:S,2,FALSE)</f>
        <v>IGBT Power Module</v>
      </c>
      <c r="C57" s="12">
        <f>VLOOKUP(A57,'Cleaned Data'!$A:$S,4,FALSE)</f>
        <v>3300</v>
      </c>
      <c r="D57" s="12">
        <f>VLOOKUP(A57,'Cleaned Data'!$A:$S,6,FALSE)</f>
        <v>445995</v>
      </c>
      <c r="E57" s="12" t="str">
        <f>VLOOKUP(A57,'Cleaned Data'!A:S,7,FALSE)</f>
        <v>BAR-007</v>
      </c>
      <c r="F57" s="12">
        <f>VLOOKUP(A57,'Cleaned Data'!$A:$S,9,FALSE)</f>
        <v>41</v>
      </c>
    </row>
    <row r="58" spans="1:6" x14ac:dyDescent="0.25">
      <c r="A58" s="2" t="s">
        <v>14</v>
      </c>
      <c r="B58" s="12" t="str">
        <f>VLOOKUP(A58,'Cleaned Data'!A:S,2,FALSE)</f>
        <v>CMOS Image Sensor (CIS)</v>
      </c>
      <c r="C58" s="12">
        <f>VLOOKUP(A58,'Cleaned Data'!$A:$S,4,FALSE)</f>
        <v>2200</v>
      </c>
      <c r="D58" s="12">
        <f>VLOOKUP(A58,'Cleaned Data'!$A:$S,6,FALSE)</f>
        <v>320584</v>
      </c>
      <c r="E58" s="12" t="str">
        <f>VLOOKUP(A58,'Cleaned Data'!A:S,7,FALSE)</f>
        <v>BAR-010</v>
      </c>
      <c r="F58" s="12">
        <f>VLOOKUP(A58,'Cleaned Data'!$A:$S,9,FALSE)</f>
        <v>13</v>
      </c>
    </row>
    <row r="59" spans="1:6" x14ac:dyDescent="0.25">
      <c r="A59" s="7" t="s">
        <v>106</v>
      </c>
      <c r="B59" s="12" t="str">
        <f>VLOOKUP(A59,'Cleaned Data'!A:S,2,FALSE)</f>
        <v>MEMS Pressure Sensor</v>
      </c>
      <c r="C59" s="12">
        <f>VLOOKUP(A59,'Cleaned Data'!$A:$S,4,FALSE)</f>
        <v>4050</v>
      </c>
      <c r="D59" s="12">
        <f>VLOOKUP(A59,'Cleaned Data'!$A:$S,6,FALSE)</f>
        <v>880632</v>
      </c>
      <c r="E59" s="12" t="str">
        <f>VLOOKUP(A59,'Cleaned Data'!A:S,7,FALSE)</f>
        <v>BAR-006</v>
      </c>
      <c r="F59" s="12">
        <f>VLOOKUP(A59,'Cleaned Data'!$A:$S,9,FALSE)</f>
        <v>34</v>
      </c>
    </row>
    <row r="60" spans="1:6" x14ac:dyDescent="0.25">
      <c r="A60" s="2" t="s">
        <v>59</v>
      </c>
      <c r="B60" s="12" t="str">
        <f>VLOOKUP(A60,'Cleaned Data'!A:S,2,FALSE)</f>
        <v>GaN Fast Charger IC</v>
      </c>
      <c r="C60" s="12">
        <f>VLOOKUP(A60,'Cleaned Data'!$A:$S,4,FALSE)</f>
        <v>3850</v>
      </c>
      <c r="D60" s="12">
        <f>VLOOKUP(A60,'Cleaned Data'!$A:$S,6,FALSE)</f>
        <v>1169553</v>
      </c>
      <c r="E60" s="12" t="str">
        <f>VLOOKUP(A60,'Cleaned Data'!A:S,7,FALSE)</f>
        <v>BAR-009</v>
      </c>
      <c r="F60" s="12">
        <f>VLOOKUP(A60,'Cleaned Data'!$A:$S,9,FALSE)</f>
        <v>19</v>
      </c>
    </row>
    <row r="61" spans="1:6" x14ac:dyDescent="0.25">
      <c r="A61" s="7" t="s">
        <v>14</v>
      </c>
      <c r="B61" s="12" t="str">
        <f>VLOOKUP(A61,'Cleaned Data'!A:S,2,FALSE)</f>
        <v>CMOS Image Sensor (CIS)</v>
      </c>
      <c r="C61" s="12">
        <f>VLOOKUP(A61,'Cleaned Data'!$A:$S,4,FALSE)</f>
        <v>2200</v>
      </c>
      <c r="D61" s="12">
        <f>VLOOKUP(A61,'Cleaned Data'!$A:$S,6,FALSE)</f>
        <v>320584</v>
      </c>
      <c r="E61" s="12" t="str">
        <f>VLOOKUP(A61,'Cleaned Data'!A:S,7,FALSE)</f>
        <v>BAR-010</v>
      </c>
      <c r="F61" s="12">
        <f>VLOOKUP(A61,'Cleaned Data'!$A:$S,9,FALSE)</f>
        <v>13</v>
      </c>
    </row>
    <row r="62" spans="1:6" x14ac:dyDescent="0.25">
      <c r="A62" s="2" t="s">
        <v>53</v>
      </c>
      <c r="B62" s="12" t="str">
        <f>VLOOKUP(A62,'Cleaned Data'!A:S,2,FALSE)</f>
        <v>Silicon Wafer 300mm</v>
      </c>
      <c r="C62" s="12">
        <f>VLOOKUP(A62,'Cleaned Data'!$A:$S,4,FALSE)</f>
        <v>4650</v>
      </c>
      <c r="D62" s="12">
        <f>VLOOKUP(A62,'Cleaned Data'!$A:$S,6,FALSE)</f>
        <v>389158.5</v>
      </c>
      <c r="E62" s="12" t="str">
        <f>VLOOKUP(A62,'Cleaned Data'!A:S,7,FALSE)</f>
        <v>BAR-001</v>
      </c>
      <c r="F62" s="12">
        <f>VLOOKUP(A62,'Cleaned Data'!$A:$S,9,FALSE)</f>
        <v>17</v>
      </c>
    </row>
    <row r="63" spans="1:6" x14ac:dyDescent="0.25">
      <c r="A63" s="7" t="s">
        <v>23</v>
      </c>
      <c r="B63" s="12" t="str">
        <f>VLOOKUP(A63,'Cleaned Data'!A:S,2,FALSE)</f>
        <v>GaAs RF Power Amp</v>
      </c>
      <c r="C63" s="12">
        <f>VLOOKUP(A63,'Cleaned Data'!$A:$S,4,FALSE)</f>
        <v>2600</v>
      </c>
      <c r="D63" s="12">
        <f>VLOOKUP(A63,'Cleaned Data'!$A:$S,6,FALSE)</f>
        <v>806494</v>
      </c>
      <c r="E63" s="12" t="str">
        <f>VLOOKUP(A63,'Cleaned Data'!A:S,7,FALSE)</f>
        <v>BAR-002</v>
      </c>
      <c r="F63" s="12">
        <f>VLOOKUP(A63,'Cleaned Data'!$A:$S,9,FALSE)</f>
        <v>33</v>
      </c>
    </row>
    <row r="64" spans="1:6" x14ac:dyDescent="0.25">
      <c r="A64" s="2" t="s">
        <v>37</v>
      </c>
      <c r="B64" s="12" t="str">
        <f>VLOOKUP(A64,'Cleaned Data'!A:S,2,FALSE)</f>
        <v>Automotive MCU (16-bit)</v>
      </c>
      <c r="C64" s="12">
        <f>VLOOKUP(A64,'Cleaned Data'!$A:$S,4,FALSE)</f>
        <v>4400</v>
      </c>
      <c r="D64" s="12">
        <f>VLOOKUP(A64,'Cleaned Data'!$A:$S,6,FALSE)</f>
        <v>401060</v>
      </c>
      <c r="E64" s="12" t="str">
        <f>VLOOKUP(A64,'Cleaned Data'!A:S,7,FALSE)</f>
        <v>BAR-004</v>
      </c>
      <c r="F64" s="12">
        <f>VLOOKUP(A64,'Cleaned Data'!$A:$S,9,FALSE)</f>
        <v>33</v>
      </c>
    </row>
    <row r="65" spans="1:6" x14ac:dyDescent="0.25">
      <c r="A65" s="7" t="s">
        <v>67</v>
      </c>
      <c r="B65" s="12" t="str">
        <f>VLOOKUP(A65,'Cleaned Data'!A:S,2,FALSE)</f>
        <v>AI Accelerator GPU</v>
      </c>
      <c r="C65" s="12">
        <f>VLOOKUP(A65,'Cleaned Data'!$A:$S,4,FALSE)</f>
        <v>2100</v>
      </c>
      <c r="D65" s="12">
        <f>VLOOKUP(A65,'Cleaned Data'!$A:$S,6,FALSE)</f>
        <v>898905</v>
      </c>
      <c r="E65" s="12" t="str">
        <f>VLOOKUP(A65,'Cleaned Data'!A:S,7,FALSE)</f>
        <v>BAR-005</v>
      </c>
      <c r="F65" s="12">
        <f>VLOOKUP(A65,'Cleaned Data'!$A:$S,9,FALSE)</f>
        <v>39</v>
      </c>
    </row>
    <row r="66" spans="1:6" x14ac:dyDescent="0.25">
      <c r="A66" s="2" t="s">
        <v>30</v>
      </c>
      <c r="B66" s="12" t="str">
        <f>VLOOKUP(A66,'Cleaned Data'!A:S,2,FALSE)</f>
        <v>OLED Display Driver IC</v>
      </c>
      <c r="C66" s="12">
        <f>VLOOKUP(A66,'Cleaned Data'!$A:$S,4,FALSE)</f>
        <v>2900</v>
      </c>
      <c r="D66" s="12">
        <f>VLOOKUP(A66,'Cleaned Data'!$A:$S,6,FALSE)</f>
        <v>295713</v>
      </c>
      <c r="E66" s="12" t="str">
        <f>VLOOKUP(A66,'Cleaned Data'!A:S,7,FALSE)</f>
        <v>BAR-008</v>
      </c>
      <c r="F66" s="12">
        <f>VLOOKUP(A66,'Cleaned Data'!$A:$S,9,FALSE)</f>
        <v>27</v>
      </c>
    </row>
    <row r="67" spans="1:6" x14ac:dyDescent="0.25">
      <c r="A67" s="7" t="s">
        <v>37</v>
      </c>
      <c r="B67" s="12" t="str">
        <f>VLOOKUP(A67,'Cleaned Data'!A:S,2,FALSE)</f>
        <v>Automotive MCU (16-bit)</v>
      </c>
      <c r="C67" s="12">
        <f>VLOOKUP(A67,'Cleaned Data'!$A:$S,4,FALSE)</f>
        <v>4400</v>
      </c>
      <c r="D67" s="12">
        <f>VLOOKUP(A67,'Cleaned Data'!$A:$S,6,FALSE)</f>
        <v>401060</v>
      </c>
      <c r="E67" s="12" t="str">
        <f>VLOOKUP(A67,'Cleaned Data'!A:S,7,FALSE)</f>
        <v>BAR-004</v>
      </c>
      <c r="F67" s="12">
        <f>VLOOKUP(A67,'Cleaned Data'!$A:$S,9,FALSE)</f>
        <v>33</v>
      </c>
    </row>
    <row r="68" spans="1:6" x14ac:dyDescent="0.25">
      <c r="A68" s="2" t="s">
        <v>89</v>
      </c>
      <c r="B68" s="12" t="str">
        <f>VLOOKUP(A68,'Cleaned Data'!A:S,2,FALSE)</f>
        <v>NAND Flash 3D 128-Layer</v>
      </c>
      <c r="C68" s="12">
        <f>VLOOKUP(A68,'Cleaned Data'!$A:$S,4,FALSE)</f>
        <v>4750</v>
      </c>
      <c r="D68" s="12">
        <f>VLOOKUP(A68,'Cleaned Data'!$A:$S,6,FALSE)</f>
        <v>537225</v>
      </c>
      <c r="E68" s="12" t="str">
        <f>VLOOKUP(A68,'Cleaned Data'!A:S,7,FALSE)</f>
        <v>BAR-003</v>
      </c>
      <c r="F68" s="12">
        <f>VLOOKUP(A68,'Cleaned Data'!$A:$S,9,FALSE)</f>
        <v>18</v>
      </c>
    </row>
    <row r="69" spans="1:6" x14ac:dyDescent="0.25">
      <c r="A69" s="7" t="s">
        <v>89</v>
      </c>
      <c r="B69" s="12" t="str">
        <f>VLOOKUP(A69,'Cleaned Data'!A:S,2,FALSE)</f>
        <v>NAND Flash 3D 128-Layer</v>
      </c>
      <c r="C69" s="12">
        <f>VLOOKUP(A69,'Cleaned Data'!$A:$S,4,FALSE)</f>
        <v>4750</v>
      </c>
      <c r="D69" s="12">
        <f>VLOOKUP(A69,'Cleaned Data'!$A:$S,6,FALSE)</f>
        <v>537225</v>
      </c>
      <c r="E69" s="12" t="str">
        <f>VLOOKUP(A69,'Cleaned Data'!A:S,7,FALSE)</f>
        <v>BAR-003</v>
      </c>
      <c r="F69" s="12">
        <f>VLOOKUP(A69,'Cleaned Data'!$A:$S,9,FALSE)</f>
        <v>18</v>
      </c>
    </row>
    <row r="70" spans="1:6" x14ac:dyDescent="0.25">
      <c r="A70" s="2" t="s">
        <v>37</v>
      </c>
      <c r="B70" s="12" t="str">
        <f>VLOOKUP(A70,'Cleaned Data'!A:S,2,FALSE)</f>
        <v>Automotive MCU (16-bit)</v>
      </c>
      <c r="C70" s="12">
        <f>VLOOKUP(A70,'Cleaned Data'!$A:$S,4,FALSE)</f>
        <v>4400</v>
      </c>
      <c r="D70" s="12">
        <f>VLOOKUP(A70,'Cleaned Data'!$A:$S,6,FALSE)</f>
        <v>401060</v>
      </c>
      <c r="E70" s="12" t="str">
        <f>VLOOKUP(A70,'Cleaned Data'!A:S,7,FALSE)</f>
        <v>BAR-004</v>
      </c>
      <c r="F70" s="12">
        <f>VLOOKUP(A70,'Cleaned Data'!$A:$S,9,FALSE)</f>
        <v>33</v>
      </c>
    </row>
    <row r="71" spans="1:6" x14ac:dyDescent="0.25">
      <c r="A71" s="7" t="s">
        <v>45</v>
      </c>
      <c r="B71" s="12" t="str">
        <f>VLOOKUP(A71,'Cleaned Data'!A:S,2,FALSE)</f>
        <v>IGBT Power Module</v>
      </c>
      <c r="C71" s="12">
        <f>VLOOKUP(A71,'Cleaned Data'!$A:$S,4,FALSE)</f>
        <v>3300</v>
      </c>
      <c r="D71" s="12">
        <f>VLOOKUP(A71,'Cleaned Data'!$A:$S,6,FALSE)</f>
        <v>445995</v>
      </c>
      <c r="E71" s="12" t="str">
        <f>VLOOKUP(A71,'Cleaned Data'!A:S,7,FALSE)</f>
        <v>BAR-007</v>
      </c>
      <c r="F71" s="12">
        <f>VLOOKUP(A71,'Cleaned Data'!$A:$S,9,FALSE)</f>
        <v>41</v>
      </c>
    </row>
    <row r="72" spans="1:6" x14ac:dyDescent="0.25">
      <c r="A72" s="2" t="s">
        <v>37</v>
      </c>
      <c r="B72" s="12" t="str">
        <f>VLOOKUP(A72,'Cleaned Data'!A:S,2,FALSE)</f>
        <v>Automotive MCU (16-bit)</v>
      </c>
      <c r="C72" s="12">
        <f>VLOOKUP(A72,'Cleaned Data'!$A:$S,4,FALSE)</f>
        <v>4400</v>
      </c>
      <c r="D72" s="12">
        <f>VLOOKUP(A72,'Cleaned Data'!$A:$S,6,FALSE)</f>
        <v>401060</v>
      </c>
      <c r="E72" s="12" t="str">
        <f>VLOOKUP(A72,'Cleaned Data'!A:S,7,FALSE)</f>
        <v>BAR-004</v>
      </c>
      <c r="F72" s="12">
        <f>VLOOKUP(A72,'Cleaned Data'!$A:$S,9,FALSE)</f>
        <v>33</v>
      </c>
    </row>
    <row r="73" spans="1:6" x14ac:dyDescent="0.25">
      <c r="A73" s="7" t="s">
        <v>37</v>
      </c>
      <c r="B73" s="12" t="str">
        <f>VLOOKUP(A73,'Cleaned Data'!A:S,2,FALSE)</f>
        <v>Automotive MCU (16-bit)</v>
      </c>
      <c r="C73" s="12">
        <f>VLOOKUP(A73,'Cleaned Data'!$A:$S,4,FALSE)</f>
        <v>4400</v>
      </c>
      <c r="D73" s="12">
        <f>VLOOKUP(A73,'Cleaned Data'!$A:$S,6,FALSE)</f>
        <v>401060</v>
      </c>
      <c r="E73" s="12" t="str">
        <f>VLOOKUP(A73,'Cleaned Data'!A:S,7,FALSE)</f>
        <v>BAR-004</v>
      </c>
      <c r="F73" s="12">
        <f>VLOOKUP(A73,'Cleaned Data'!$A:$S,9,FALSE)</f>
        <v>33</v>
      </c>
    </row>
    <row r="74" spans="1:6" x14ac:dyDescent="0.25">
      <c r="A74" s="2" t="s">
        <v>14</v>
      </c>
      <c r="B74" s="12" t="str">
        <f>VLOOKUP(A74,'Cleaned Data'!A:S,2,FALSE)</f>
        <v>CMOS Image Sensor (CIS)</v>
      </c>
      <c r="C74" s="12">
        <f>VLOOKUP(A74,'Cleaned Data'!$A:$S,4,FALSE)</f>
        <v>2200</v>
      </c>
      <c r="D74" s="12">
        <f>VLOOKUP(A74,'Cleaned Data'!$A:$S,6,FALSE)</f>
        <v>320584</v>
      </c>
      <c r="E74" s="12" t="str">
        <f>VLOOKUP(A74,'Cleaned Data'!A:S,7,FALSE)</f>
        <v>BAR-010</v>
      </c>
      <c r="F74" s="12">
        <f>VLOOKUP(A74,'Cleaned Data'!$A:$S,9,FALSE)</f>
        <v>13</v>
      </c>
    </row>
    <row r="75" spans="1:6" x14ac:dyDescent="0.25">
      <c r="A75" s="7" t="s">
        <v>45</v>
      </c>
      <c r="B75" s="12" t="str">
        <f>VLOOKUP(A75,'Cleaned Data'!A:S,2,FALSE)</f>
        <v>IGBT Power Module</v>
      </c>
      <c r="C75" s="12">
        <f>VLOOKUP(A75,'Cleaned Data'!$A:$S,4,FALSE)</f>
        <v>3300</v>
      </c>
      <c r="D75" s="12">
        <f>VLOOKUP(A75,'Cleaned Data'!$A:$S,6,FALSE)</f>
        <v>445995</v>
      </c>
      <c r="E75" s="12" t="str">
        <f>VLOOKUP(A75,'Cleaned Data'!A:S,7,FALSE)</f>
        <v>BAR-007</v>
      </c>
      <c r="F75" s="12">
        <f>VLOOKUP(A75,'Cleaned Data'!$A:$S,9,FALSE)</f>
        <v>41</v>
      </c>
    </row>
    <row r="76" spans="1:6" x14ac:dyDescent="0.25">
      <c r="A76" s="2" t="s">
        <v>45</v>
      </c>
      <c r="B76" s="12" t="str">
        <f>VLOOKUP(A76,'Cleaned Data'!A:S,2,FALSE)</f>
        <v>IGBT Power Module</v>
      </c>
      <c r="C76" s="12">
        <f>VLOOKUP(A76,'Cleaned Data'!$A:$S,4,FALSE)</f>
        <v>3300</v>
      </c>
      <c r="D76" s="12">
        <f>VLOOKUP(A76,'Cleaned Data'!$A:$S,6,FALSE)</f>
        <v>445995</v>
      </c>
      <c r="E76" s="12" t="str">
        <f>VLOOKUP(A76,'Cleaned Data'!A:S,7,FALSE)</f>
        <v>BAR-007</v>
      </c>
      <c r="F76" s="12">
        <f>VLOOKUP(A76,'Cleaned Data'!$A:$S,9,FALSE)</f>
        <v>41</v>
      </c>
    </row>
    <row r="77" spans="1:6" x14ac:dyDescent="0.25">
      <c r="A77" s="7" t="s">
        <v>14</v>
      </c>
      <c r="B77" s="12" t="str">
        <f>VLOOKUP(A77,'Cleaned Data'!A:S,2,FALSE)</f>
        <v>CMOS Image Sensor (CIS)</v>
      </c>
      <c r="C77" s="12">
        <f>VLOOKUP(A77,'Cleaned Data'!$A:$S,4,FALSE)</f>
        <v>2200</v>
      </c>
      <c r="D77" s="12">
        <f>VLOOKUP(A77,'Cleaned Data'!$A:$S,6,FALSE)</f>
        <v>320584</v>
      </c>
      <c r="E77" s="12" t="str">
        <f>VLOOKUP(A77,'Cleaned Data'!A:S,7,FALSE)</f>
        <v>BAR-010</v>
      </c>
      <c r="F77" s="12">
        <f>VLOOKUP(A77,'Cleaned Data'!$A:$S,9,FALSE)</f>
        <v>13</v>
      </c>
    </row>
    <row r="78" spans="1:6" x14ac:dyDescent="0.25">
      <c r="A78" s="2" t="s">
        <v>106</v>
      </c>
      <c r="B78" s="12" t="str">
        <f>VLOOKUP(A78,'Cleaned Data'!A:S,2,FALSE)</f>
        <v>MEMS Pressure Sensor</v>
      </c>
      <c r="C78" s="12">
        <f>VLOOKUP(A78,'Cleaned Data'!$A:$S,4,FALSE)</f>
        <v>4050</v>
      </c>
      <c r="D78" s="12">
        <f>VLOOKUP(A78,'Cleaned Data'!$A:$S,6,FALSE)</f>
        <v>880632</v>
      </c>
      <c r="E78" s="12" t="str">
        <f>VLOOKUP(A78,'Cleaned Data'!A:S,7,FALSE)</f>
        <v>BAR-006</v>
      </c>
      <c r="F78" s="12">
        <f>VLOOKUP(A78,'Cleaned Data'!$A:$S,9,FALSE)</f>
        <v>34</v>
      </c>
    </row>
    <row r="79" spans="1:6" x14ac:dyDescent="0.25">
      <c r="A79" s="7" t="s">
        <v>14</v>
      </c>
      <c r="B79" s="12" t="str">
        <f>VLOOKUP(A79,'Cleaned Data'!A:S,2,FALSE)</f>
        <v>CMOS Image Sensor (CIS)</v>
      </c>
      <c r="C79" s="12">
        <f>VLOOKUP(A79,'Cleaned Data'!$A:$S,4,FALSE)</f>
        <v>2200</v>
      </c>
      <c r="D79" s="12">
        <f>VLOOKUP(A79,'Cleaned Data'!$A:$S,6,FALSE)</f>
        <v>320584</v>
      </c>
      <c r="E79" s="12" t="str">
        <f>VLOOKUP(A79,'Cleaned Data'!A:S,7,FALSE)</f>
        <v>BAR-010</v>
      </c>
      <c r="F79" s="12">
        <f>VLOOKUP(A79,'Cleaned Data'!$A:$S,9,FALSE)</f>
        <v>13</v>
      </c>
    </row>
    <row r="80" spans="1:6" x14ac:dyDescent="0.25">
      <c r="A80" s="2" t="s">
        <v>89</v>
      </c>
      <c r="B80" s="12" t="str">
        <f>VLOOKUP(A80,'Cleaned Data'!A:S,2,FALSE)</f>
        <v>NAND Flash 3D 128-Layer</v>
      </c>
      <c r="C80" s="12">
        <f>VLOOKUP(A80,'Cleaned Data'!$A:$S,4,FALSE)</f>
        <v>4750</v>
      </c>
      <c r="D80" s="12">
        <f>VLOOKUP(A80,'Cleaned Data'!$A:$S,6,FALSE)</f>
        <v>537225</v>
      </c>
      <c r="E80" s="12" t="str">
        <f>VLOOKUP(A80,'Cleaned Data'!A:S,7,FALSE)</f>
        <v>BAR-003</v>
      </c>
      <c r="F80" s="12">
        <f>VLOOKUP(A80,'Cleaned Data'!$A:$S,9,FALSE)</f>
        <v>18</v>
      </c>
    </row>
    <row r="81" spans="1:6" x14ac:dyDescent="0.25">
      <c r="A81" s="7" t="s">
        <v>37</v>
      </c>
      <c r="B81" s="12" t="str">
        <f>VLOOKUP(A81,'Cleaned Data'!A:S,2,FALSE)</f>
        <v>Automotive MCU (16-bit)</v>
      </c>
      <c r="C81" s="12">
        <f>VLOOKUP(A81,'Cleaned Data'!$A:$S,4,FALSE)</f>
        <v>4400</v>
      </c>
      <c r="D81" s="12">
        <f>VLOOKUP(A81,'Cleaned Data'!$A:$S,6,FALSE)</f>
        <v>401060</v>
      </c>
      <c r="E81" s="12" t="str">
        <f>VLOOKUP(A81,'Cleaned Data'!A:S,7,FALSE)</f>
        <v>BAR-004</v>
      </c>
      <c r="F81" s="12">
        <f>VLOOKUP(A81,'Cleaned Data'!$A:$S,9,FALSE)</f>
        <v>33</v>
      </c>
    </row>
    <row r="82" spans="1:6" x14ac:dyDescent="0.25">
      <c r="A82" s="2" t="s">
        <v>53</v>
      </c>
      <c r="B82" s="12" t="str">
        <f>VLOOKUP(A82,'Cleaned Data'!A:S,2,FALSE)</f>
        <v>Silicon Wafer 300mm</v>
      </c>
      <c r="C82" s="12">
        <f>VLOOKUP(A82,'Cleaned Data'!$A:$S,4,FALSE)</f>
        <v>4650</v>
      </c>
      <c r="D82" s="12">
        <f>VLOOKUP(A82,'Cleaned Data'!$A:$S,6,FALSE)</f>
        <v>389158.5</v>
      </c>
      <c r="E82" s="12" t="str">
        <f>VLOOKUP(A82,'Cleaned Data'!A:S,7,FALSE)</f>
        <v>BAR-001</v>
      </c>
      <c r="F82" s="12">
        <f>VLOOKUP(A82,'Cleaned Data'!$A:$S,9,FALSE)</f>
        <v>17</v>
      </c>
    </row>
    <row r="83" spans="1:6" x14ac:dyDescent="0.25">
      <c r="A83" s="7" t="s">
        <v>89</v>
      </c>
      <c r="B83" s="12" t="str">
        <f>VLOOKUP(A83,'Cleaned Data'!A:S,2,FALSE)</f>
        <v>NAND Flash 3D 128-Layer</v>
      </c>
      <c r="C83" s="12">
        <f>VLOOKUP(A83,'Cleaned Data'!$A:$S,4,FALSE)</f>
        <v>4750</v>
      </c>
      <c r="D83" s="12">
        <f>VLOOKUP(A83,'Cleaned Data'!$A:$S,6,FALSE)</f>
        <v>537225</v>
      </c>
      <c r="E83" s="12" t="str">
        <f>VLOOKUP(A83,'Cleaned Data'!A:S,7,FALSE)</f>
        <v>BAR-003</v>
      </c>
      <c r="F83" s="12">
        <f>VLOOKUP(A83,'Cleaned Data'!$A:$S,9,FALSE)</f>
        <v>18</v>
      </c>
    </row>
    <row r="84" spans="1:6" x14ac:dyDescent="0.25">
      <c r="A84" s="2" t="s">
        <v>67</v>
      </c>
      <c r="B84" s="12" t="str">
        <f>VLOOKUP(A84,'Cleaned Data'!A:S,2,FALSE)</f>
        <v>AI Accelerator GPU</v>
      </c>
      <c r="C84" s="12">
        <f>VLOOKUP(A84,'Cleaned Data'!$A:$S,4,FALSE)</f>
        <v>2100</v>
      </c>
      <c r="D84" s="12">
        <f>VLOOKUP(A84,'Cleaned Data'!$A:$S,6,FALSE)</f>
        <v>898905</v>
      </c>
      <c r="E84" s="12" t="str">
        <f>VLOOKUP(A84,'Cleaned Data'!A:S,7,FALSE)</f>
        <v>BAR-005</v>
      </c>
      <c r="F84" s="12">
        <f>VLOOKUP(A84,'Cleaned Data'!$A:$S,9,FALSE)</f>
        <v>39</v>
      </c>
    </row>
    <row r="85" spans="1:6" x14ac:dyDescent="0.25">
      <c r="A85" s="7" t="s">
        <v>106</v>
      </c>
      <c r="B85" s="12" t="str">
        <f>VLOOKUP(A85,'Cleaned Data'!A:S,2,FALSE)</f>
        <v>MEMS Pressure Sensor</v>
      </c>
      <c r="C85" s="12">
        <f>VLOOKUP(A85,'Cleaned Data'!$A:$S,4,FALSE)</f>
        <v>4050</v>
      </c>
      <c r="D85" s="12">
        <f>VLOOKUP(A85,'Cleaned Data'!$A:$S,6,FALSE)</f>
        <v>880632</v>
      </c>
      <c r="E85" s="12" t="str">
        <f>VLOOKUP(A85,'Cleaned Data'!A:S,7,FALSE)</f>
        <v>BAR-006</v>
      </c>
      <c r="F85" s="12">
        <f>VLOOKUP(A85,'Cleaned Data'!$A:$S,9,FALSE)</f>
        <v>34</v>
      </c>
    </row>
    <row r="86" spans="1:6" x14ac:dyDescent="0.25">
      <c r="A86" s="2" t="s">
        <v>23</v>
      </c>
      <c r="B86" s="12" t="str">
        <f>VLOOKUP(A86,'Cleaned Data'!A:S,2,FALSE)</f>
        <v>GaAs RF Power Amp</v>
      </c>
      <c r="C86" s="12">
        <f>VLOOKUP(A86,'Cleaned Data'!$A:$S,4,FALSE)</f>
        <v>2600</v>
      </c>
      <c r="D86" s="12">
        <f>VLOOKUP(A86,'Cleaned Data'!$A:$S,6,FALSE)</f>
        <v>806494</v>
      </c>
      <c r="E86" s="12" t="str">
        <f>VLOOKUP(A86,'Cleaned Data'!A:S,7,FALSE)</f>
        <v>BAR-002</v>
      </c>
      <c r="F86" s="12">
        <f>VLOOKUP(A86,'Cleaned Data'!$A:$S,9,FALSE)</f>
        <v>33</v>
      </c>
    </row>
    <row r="87" spans="1:6" x14ac:dyDescent="0.25">
      <c r="A87" s="7" t="s">
        <v>30</v>
      </c>
      <c r="B87" s="12" t="str">
        <f>VLOOKUP(A87,'Cleaned Data'!A:S,2,FALSE)</f>
        <v>OLED Display Driver IC</v>
      </c>
      <c r="C87" s="12">
        <f>VLOOKUP(A87,'Cleaned Data'!$A:$S,4,FALSE)</f>
        <v>2900</v>
      </c>
      <c r="D87" s="12">
        <f>VLOOKUP(A87,'Cleaned Data'!$A:$S,6,FALSE)</f>
        <v>295713</v>
      </c>
      <c r="E87" s="12" t="str">
        <f>VLOOKUP(A87,'Cleaned Data'!A:S,7,FALSE)</f>
        <v>BAR-008</v>
      </c>
      <c r="F87" s="12">
        <f>VLOOKUP(A87,'Cleaned Data'!$A:$S,9,FALSE)</f>
        <v>27</v>
      </c>
    </row>
    <row r="88" spans="1:6" x14ac:dyDescent="0.25">
      <c r="A88" s="2" t="s">
        <v>53</v>
      </c>
      <c r="B88" s="12" t="str">
        <f>VLOOKUP(A88,'Cleaned Data'!A:S,2,FALSE)</f>
        <v>Silicon Wafer 300mm</v>
      </c>
      <c r="C88" s="12">
        <f>VLOOKUP(A88,'Cleaned Data'!$A:$S,4,FALSE)</f>
        <v>4650</v>
      </c>
      <c r="D88" s="12">
        <f>VLOOKUP(A88,'Cleaned Data'!$A:$S,6,FALSE)</f>
        <v>389158.5</v>
      </c>
      <c r="E88" s="12" t="str">
        <f>VLOOKUP(A88,'Cleaned Data'!A:S,7,FALSE)</f>
        <v>BAR-001</v>
      </c>
      <c r="F88" s="12">
        <f>VLOOKUP(A88,'Cleaned Data'!$A:$S,9,FALSE)</f>
        <v>17</v>
      </c>
    </row>
    <row r="89" spans="1:6" x14ac:dyDescent="0.25">
      <c r="A89" s="7" t="s">
        <v>30</v>
      </c>
      <c r="B89" s="12" t="str">
        <f>VLOOKUP(A89,'Cleaned Data'!A:S,2,FALSE)</f>
        <v>OLED Display Driver IC</v>
      </c>
      <c r="C89" s="12">
        <f>VLOOKUP(A89,'Cleaned Data'!$A:$S,4,FALSE)</f>
        <v>2900</v>
      </c>
      <c r="D89" s="12">
        <f>VLOOKUP(A89,'Cleaned Data'!$A:$S,6,FALSE)</f>
        <v>295713</v>
      </c>
      <c r="E89" s="12" t="str">
        <f>VLOOKUP(A89,'Cleaned Data'!A:S,7,FALSE)</f>
        <v>BAR-008</v>
      </c>
      <c r="F89" s="12">
        <f>VLOOKUP(A89,'Cleaned Data'!$A:$S,9,FALSE)</f>
        <v>27</v>
      </c>
    </row>
    <row r="90" spans="1:6" x14ac:dyDescent="0.25">
      <c r="A90" s="2" t="s">
        <v>67</v>
      </c>
      <c r="B90" s="12" t="str">
        <f>VLOOKUP(A90,'Cleaned Data'!A:S,2,FALSE)</f>
        <v>AI Accelerator GPU</v>
      </c>
      <c r="C90" s="12">
        <f>VLOOKUP(A90,'Cleaned Data'!$A:$S,4,FALSE)</f>
        <v>2100</v>
      </c>
      <c r="D90" s="12">
        <f>VLOOKUP(A90,'Cleaned Data'!$A:$S,6,FALSE)</f>
        <v>898905</v>
      </c>
      <c r="E90" s="12" t="str">
        <f>VLOOKUP(A90,'Cleaned Data'!A:S,7,FALSE)</f>
        <v>BAR-005</v>
      </c>
      <c r="F90" s="12">
        <f>VLOOKUP(A90,'Cleaned Data'!$A:$S,9,FALSE)</f>
        <v>39</v>
      </c>
    </row>
    <row r="91" spans="1:6" x14ac:dyDescent="0.25">
      <c r="A91" s="7" t="s">
        <v>89</v>
      </c>
      <c r="B91" s="12" t="str">
        <f>VLOOKUP(A91,'Cleaned Data'!A:S,2,FALSE)</f>
        <v>NAND Flash 3D 128-Layer</v>
      </c>
      <c r="C91" s="12">
        <f>VLOOKUP(A91,'Cleaned Data'!$A:$S,4,FALSE)</f>
        <v>4750</v>
      </c>
      <c r="D91" s="12">
        <f>VLOOKUP(A91,'Cleaned Data'!$A:$S,6,FALSE)</f>
        <v>537225</v>
      </c>
      <c r="E91" s="12" t="str">
        <f>VLOOKUP(A91,'Cleaned Data'!A:S,7,FALSE)</f>
        <v>BAR-003</v>
      </c>
      <c r="F91" s="12">
        <f>VLOOKUP(A91,'Cleaned Data'!$A:$S,9,FALSE)</f>
        <v>18</v>
      </c>
    </row>
    <row r="92" spans="1:6" x14ac:dyDescent="0.25">
      <c r="A92" s="2" t="s">
        <v>45</v>
      </c>
      <c r="B92" s="12" t="str">
        <f>VLOOKUP(A92,'Cleaned Data'!A:S,2,FALSE)</f>
        <v>IGBT Power Module</v>
      </c>
      <c r="C92" s="12">
        <f>VLOOKUP(A92,'Cleaned Data'!$A:$S,4,FALSE)</f>
        <v>3300</v>
      </c>
      <c r="D92" s="12">
        <f>VLOOKUP(A92,'Cleaned Data'!$A:$S,6,FALSE)</f>
        <v>445995</v>
      </c>
      <c r="E92" s="12" t="str">
        <f>VLOOKUP(A92,'Cleaned Data'!A:S,7,FALSE)</f>
        <v>BAR-007</v>
      </c>
      <c r="F92" s="12">
        <f>VLOOKUP(A92,'Cleaned Data'!$A:$S,9,FALSE)</f>
        <v>41</v>
      </c>
    </row>
    <row r="93" spans="1:6" x14ac:dyDescent="0.25">
      <c r="A93" s="7" t="s">
        <v>67</v>
      </c>
      <c r="B93" s="12" t="str">
        <f>VLOOKUP(A93,'Cleaned Data'!A:S,2,FALSE)</f>
        <v>AI Accelerator GPU</v>
      </c>
      <c r="C93" s="12">
        <f>VLOOKUP(A93,'Cleaned Data'!$A:$S,4,FALSE)</f>
        <v>2100</v>
      </c>
      <c r="D93" s="12">
        <f>VLOOKUP(A93,'Cleaned Data'!$A:$S,6,FALSE)</f>
        <v>898905</v>
      </c>
      <c r="E93" s="12" t="str">
        <f>VLOOKUP(A93,'Cleaned Data'!A:S,7,FALSE)</f>
        <v>BAR-005</v>
      </c>
      <c r="F93" s="12">
        <f>VLOOKUP(A93,'Cleaned Data'!$A:$S,9,FALSE)</f>
        <v>39</v>
      </c>
    </row>
    <row r="94" spans="1:6" x14ac:dyDescent="0.25">
      <c r="A94" s="2" t="s">
        <v>59</v>
      </c>
      <c r="B94" s="12" t="str">
        <f>VLOOKUP(A94,'Cleaned Data'!A:S,2,FALSE)</f>
        <v>GaN Fast Charger IC</v>
      </c>
      <c r="C94" s="12">
        <f>VLOOKUP(A94,'Cleaned Data'!$A:$S,4,FALSE)</f>
        <v>3850</v>
      </c>
      <c r="D94" s="12">
        <f>VLOOKUP(A94,'Cleaned Data'!$A:$S,6,FALSE)</f>
        <v>1169553</v>
      </c>
      <c r="E94" s="12" t="str">
        <f>VLOOKUP(A94,'Cleaned Data'!A:S,7,FALSE)</f>
        <v>BAR-009</v>
      </c>
      <c r="F94" s="12">
        <f>VLOOKUP(A94,'Cleaned Data'!$A:$S,9,FALSE)</f>
        <v>19</v>
      </c>
    </row>
    <row r="95" spans="1:6" x14ac:dyDescent="0.25">
      <c r="A95" s="7" t="s">
        <v>53</v>
      </c>
      <c r="B95" s="12" t="str">
        <f>VLOOKUP(A95,'Cleaned Data'!A:S,2,FALSE)</f>
        <v>Silicon Wafer 300mm</v>
      </c>
      <c r="C95" s="12">
        <f>VLOOKUP(A95,'Cleaned Data'!$A:$S,4,FALSE)</f>
        <v>4650</v>
      </c>
      <c r="D95" s="12">
        <f>VLOOKUP(A95,'Cleaned Data'!$A:$S,6,FALSE)</f>
        <v>389158.5</v>
      </c>
      <c r="E95" s="12" t="str">
        <f>VLOOKUP(A95,'Cleaned Data'!A:S,7,FALSE)</f>
        <v>BAR-001</v>
      </c>
      <c r="F95" s="12">
        <f>VLOOKUP(A95,'Cleaned Data'!$A:$S,9,FALSE)</f>
        <v>17</v>
      </c>
    </row>
    <row r="96" spans="1:6" x14ac:dyDescent="0.25">
      <c r="A96" s="2" t="s">
        <v>37</v>
      </c>
      <c r="B96" s="12" t="str">
        <f>VLOOKUP(A96,'Cleaned Data'!A:S,2,FALSE)</f>
        <v>Automotive MCU (16-bit)</v>
      </c>
      <c r="C96" s="12">
        <f>VLOOKUP(A96,'Cleaned Data'!$A:$S,4,FALSE)</f>
        <v>4400</v>
      </c>
      <c r="D96" s="12">
        <f>VLOOKUP(A96,'Cleaned Data'!$A:$S,6,FALSE)</f>
        <v>401060</v>
      </c>
      <c r="E96" s="12" t="str">
        <f>VLOOKUP(A96,'Cleaned Data'!A:S,7,FALSE)</f>
        <v>BAR-004</v>
      </c>
      <c r="F96" s="12">
        <f>VLOOKUP(A96,'Cleaned Data'!$A:$S,9,FALSE)</f>
        <v>33</v>
      </c>
    </row>
    <row r="97" spans="1:6" x14ac:dyDescent="0.25">
      <c r="A97" s="7" t="s">
        <v>23</v>
      </c>
      <c r="B97" s="12" t="str">
        <f>VLOOKUP(A97,'Cleaned Data'!A:S,2,FALSE)</f>
        <v>GaAs RF Power Amp</v>
      </c>
      <c r="C97" s="12">
        <f>VLOOKUP(A97,'Cleaned Data'!$A:$S,4,FALSE)</f>
        <v>2600</v>
      </c>
      <c r="D97" s="12">
        <f>VLOOKUP(A97,'Cleaned Data'!$A:$S,6,FALSE)</f>
        <v>806494</v>
      </c>
      <c r="E97" s="12" t="str">
        <f>VLOOKUP(A97,'Cleaned Data'!A:S,7,FALSE)</f>
        <v>BAR-002</v>
      </c>
      <c r="F97" s="12">
        <f>VLOOKUP(A97,'Cleaned Data'!$A:$S,9,FALSE)</f>
        <v>33</v>
      </c>
    </row>
    <row r="98" spans="1:6" x14ac:dyDescent="0.25">
      <c r="A98" s="2" t="s">
        <v>45</v>
      </c>
      <c r="B98" s="12" t="str">
        <f>VLOOKUP(A98,'Cleaned Data'!A:S,2,FALSE)</f>
        <v>IGBT Power Module</v>
      </c>
      <c r="C98" s="12">
        <f>VLOOKUP(A98,'Cleaned Data'!$A:$S,4,FALSE)</f>
        <v>3300</v>
      </c>
      <c r="D98" s="12">
        <f>VLOOKUP(A98,'Cleaned Data'!$A:$S,6,FALSE)</f>
        <v>445995</v>
      </c>
      <c r="E98" s="12" t="str">
        <f>VLOOKUP(A98,'Cleaned Data'!A:S,7,FALSE)</f>
        <v>BAR-007</v>
      </c>
      <c r="F98" s="12">
        <f>VLOOKUP(A98,'Cleaned Data'!$A:$S,9,FALSE)</f>
        <v>41</v>
      </c>
    </row>
    <row r="99" spans="1:6" x14ac:dyDescent="0.25">
      <c r="A99" s="7" t="s">
        <v>37</v>
      </c>
      <c r="B99" s="12" t="str">
        <f>VLOOKUP(A99,'Cleaned Data'!A:S,2,FALSE)</f>
        <v>Automotive MCU (16-bit)</v>
      </c>
      <c r="C99" s="12">
        <f>VLOOKUP(A99,'Cleaned Data'!$A:$S,4,FALSE)</f>
        <v>4400</v>
      </c>
      <c r="D99" s="12">
        <f>VLOOKUP(A99,'Cleaned Data'!$A:$S,6,FALSE)</f>
        <v>401060</v>
      </c>
      <c r="E99" s="12" t="str">
        <f>VLOOKUP(A99,'Cleaned Data'!A:S,7,FALSE)</f>
        <v>BAR-004</v>
      </c>
      <c r="F99" s="12">
        <f>VLOOKUP(A99,'Cleaned Data'!$A:$S,9,FALSE)</f>
        <v>33</v>
      </c>
    </row>
    <row r="100" spans="1:6" x14ac:dyDescent="0.25">
      <c r="A100" s="2" t="s">
        <v>53</v>
      </c>
      <c r="B100" s="12" t="str">
        <f>VLOOKUP(A100,'Cleaned Data'!A:S,2,FALSE)</f>
        <v>Silicon Wafer 300mm</v>
      </c>
      <c r="C100" s="12">
        <f>VLOOKUP(A100,'Cleaned Data'!$A:$S,4,FALSE)</f>
        <v>4650</v>
      </c>
      <c r="D100" s="12">
        <f>VLOOKUP(A100,'Cleaned Data'!$A:$S,6,FALSE)</f>
        <v>389158.5</v>
      </c>
      <c r="E100" s="12" t="str">
        <f>VLOOKUP(A100,'Cleaned Data'!A:S,7,FALSE)</f>
        <v>BAR-001</v>
      </c>
      <c r="F100" s="12">
        <f>VLOOKUP(A100,'Cleaned Data'!$A:$S,9,FALSE)</f>
        <v>17</v>
      </c>
    </row>
    <row r="101" spans="1:6" x14ac:dyDescent="0.25">
      <c r="A101" s="7" t="s">
        <v>37</v>
      </c>
      <c r="B101" s="12" t="str">
        <f>VLOOKUP(A101,'Cleaned Data'!A:S,2,FALSE)</f>
        <v>Automotive MCU (16-bit)</v>
      </c>
      <c r="C101" s="12">
        <f>VLOOKUP(A101,'Cleaned Data'!$A:$S,4,FALSE)</f>
        <v>4400</v>
      </c>
      <c r="D101" s="12">
        <f>VLOOKUP(A101,'Cleaned Data'!$A:$S,6,FALSE)</f>
        <v>401060</v>
      </c>
      <c r="E101" s="12" t="str">
        <f>VLOOKUP(A101,'Cleaned Data'!A:S,7,FALSE)</f>
        <v>BAR-004</v>
      </c>
      <c r="F101" s="12">
        <f>VLOOKUP(A101,'Cleaned Data'!$A:$S,9,FALSE)</f>
        <v>33</v>
      </c>
    </row>
    <row r="102" spans="1:6" x14ac:dyDescent="0.25">
      <c r="A102" s="2" t="s">
        <v>30</v>
      </c>
      <c r="B102" s="12" t="str">
        <f>VLOOKUP(A102,'Cleaned Data'!A:S,2,FALSE)</f>
        <v>OLED Display Driver IC</v>
      </c>
      <c r="C102" s="12">
        <f>VLOOKUP(A102,'Cleaned Data'!$A:$S,4,FALSE)</f>
        <v>2900</v>
      </c>
      <c r="D102" s="12">
        <f>VLOOKUP(A102,'Cleaned Data'!$A:$S,6,FALSE)</f>
        <v>295713</v>
      </c>
      <c r="E102" s="12" t="str">
        <f>VLOOKUP(A102,'Cleaned Data'!A:S,7,FALSE)</f>
        <v>BAR-008</v>
      </c>
      <c r="F102" s="12">
        <f>VLOOKUP(A102,'Cleaned Data'!$A:$S,9,FALSE)</f>
        <v>27</v>
      </c>
    </row>
    <row r="103" spans="1:6" x14ac:dyDescent="0.25">
      <c r="A103" s="7" t="s">
        <v>45</v>
      </c>
      <c r="B103" s="12" t="str">
        <f>VLOOKUP(A103,'Cleaned Data'!A:S,2,FALSE)</f>
        <v>IGBT Power Module</v>
      </c>
      <c r="C103" s="12">
        <f>VLOOKUP(A103,'Cleaned Data'!$A:$S,4,FALSE)</f>
        <v>3300</v>
      </c>
      <c r="D103" s="12">
        <f>VLOOKUP(A103,'Cleaned Data'!$A:$S,6,FALSE)</f>
        <v>445995</v>
      </c>
      <c r="E103" s="12" t="str">
        <f>VLOOKUP(A103,'Cleaned Data'!A:S,7,FALSE)</f>
        <v>BAR-007</v>
      </c>
      <c r="F103" s="12">
        <f>VLOOKUP(A103,'Cleaned Data'!$A:$S,9,FALSE)</f>
        <v>41</v>
      </c>
    </row>
    <row r="104" spans="1:6" x14ac:dyDescent="0.25">
      <c r="A104" s="2" t="s">
        <v>53</v>
      </c>
      <c r="B104" s="12" t="str">
        <f>VLOOKUP(A104,'Cleaned Data'!A:S,2,FALSE)</f>
        <v>Silicon Wafer 300mm</v>
      </c>
      <c r="C104" s="12">
        <f>VLOOKUP(A104,'Cleaned Data'!$A:$S,4,FALSE)</f>
        <v>4650</v>
      </c>
      <c r="D104" s="12">
        <f>VLOOKUP(A104,'Cleaned Data'!$A:$S,6,FALSE)</f>
        <v>389158.5</v>
      </c>
      <c r="E104" s="12" t="str">
        <f>VLOOKUP(A104,'Cleaned Data'!A:S,7,FALSE)</f>
        <v>BAR-001</v>
      </c>
      <c r="F104" s="12">
        <f>VLOOKUP(A104,'Cleaned Data'!$A:$S,9,FALSE)</f>
        <v>17</v>
      </c>
    </row>
    <row r="105" spans="1:6" x14ac:dyDescent="0.25">
      <c r="A105" s="7" t="s">
        <v>37</v>
      </c>
      <c r="B105" s="12" t="str">
        <f>VLOOKUP(A105,'Cleaned Data'!A:S,2,FALSE)</f>
        <v>Automotive MCU (16-bit)</v>
      </c>
      <c r="C105" s="12">
        <f>VLOOKUP(A105,'Cleaned Data'!$A:$S,4,FALSE)</f>
        <v>4400</v>
      </c>
      <c r="D105" s="12">
        <f>VLOOKUP(A105,'Cleaned Data'!$A:$S,6,FALSE)</f>
        <v>401060</v>
      </c>
      <c r="E105" s="12" t="str">
        <f>VLOOKUP(A105,'Cleaned Data'!A:S,7,FALSE)</f>
        <v>BAR-004</v>
      </c>
      <c r="F105" s="12">
        <f>VLOOKUP(A105,'Cleaned Data'!$A:$S,9,FALSE)</f>
        <v>33</v>
      </c>
    </row>
    <row r="106" spans="1:6" x14ac:dyDescent="0.25">
      <c r="A106" s="2" t="s">
        <v>53</v>
      </c>
      <c r="B106" s="12" t="str">
        <f>VLOOKUP(A106,'Cleaned Data'!A:S,2,FALSE)</f>
        <v>Silicon Wafer 300mm</v>
      </c>
      <c r="C106" s="12">
        <f>VLOOKUP(A106,'Cleaned Data'!$A:$S,4,FALSE)</f>
        <v>4650</v>
      </c>
      <c r="D106" s="12">
        <f>VLOOKUP(A106,'Cleaned Data'!$A:$S,6,FALSE)</f>
        <v>389158.5</v>
      </c>
      <c r="E106" s="12" t="str">
        <f>VLOOKUP(A106,'Cleaned Data'!A:S,7,FALSE)</f>
        <v>BAR-001</v>
      </c>
      <c r="F106" s="12">
        <f>VLOOKUP(A106,'Cleaned Data'!$A:$S,9,FALSE)</f>
        <v>17</v>
      </c>
    </row>
    <row r="107" spans="1:6" x14ac:dyDescent="0.25">
      <c r="A107" s="7" t="s">
        <v>45</v>
      </c>
      <c r="B107" s="12" t="str">
        <f>VLOOKUP(A107,'Cleaned Data'!A:S,2,FALSE)</f>
        <v>IGBT Power Module</v>
      </c>
      <c r="C107" s="12">
        <f>VLOOKUP(A107,'Cleaned Data'!$A:$S,4,FALSE)</f>
        <v>3300</v>
      </c>
      <c r="D107" s="12">
        <f>VLOOKUP(A107,'Cleaned Data'!$A:$S,6,FALSE)</f>
        <v>445995</v>
      </c>
      <c r="E107" s="12" t="str">
        <f>VLOOKUP(A107,'Cleaned Data'!A:S,7,FALSE)</f>
        <v>BAR-007</v>
      </c>
      <c r="F107" s="12">
        <f>VLOOKUP(A107,'Cleaned Data'!$A:$S,9,FALSE)</f>
        <v>41</v>
      </c>
    </row>
    <row r="108" spans="1:6" x14ac:dyDescent="0.25">
      <c r="A108" s="2" t="s">
        <v>67</v>
      </c>
      <c r="B108" s="12" t="str">
        <f>VLOOKUP(A108,'Cleaned Data'!A:S,2,FALSE)</f>
        <v>AI Accelerator GPU</v>
      </c>
      <c r="C108" s="12">
        <f>VLOOKUP(A108,'Cleaned Data'!$A:$S,4,FALSE)</f>
        <v>2100</v>
      </c>
      <c r="D108" s="12">
        <f>VLOOKUP(A108,'Cleaned Data'!$A:$S,6,FALSE)</f>
        <v>898905</v>
      </c>
      <c r="E108" s="12" t="str">
        <f>VLOOKUP(A108,'Cleaned Data'!A:S,7,FALSE)</f>
        <v>BAR-005</v>
      </c>
      <c r="F108" s="12">
        <f>VLOOKUP(A108,'Cleaned Data'!$A:$S,9,FALSE)</f>
        <v>39</v>
      </c>
    </row>
    <row r="109" spans="1:6" x14ac:dyDescent="0.25">
      <c r="A109" s="7" t="s">
        <v>106</v>
      </c>
      <c r="B109" s="12" t="str">
        <f>VLOOKUP(A109,'Cleaned Data'!A:S,2,FALSE)</f>
        <v>MEMS Pressure Sensor</v>
      </c>
      <c r="C109" s="12">
        <f>VLOOKUP(A109,'Cleaned Data'!$A:$S,4,FALSE)</f>
        <v>4050</v>
      </c>
      <c r="D109" s="12">
        <f>VLOOKUP(A109,'Cleaned Data'!$A:$S,6,FALSE)</f>
        <v>880632</v>
      </c>
      <c r="E109" s="12" t="str">
        <f>VLOOKUP(A109,'Cleaned Data'!A:S,7,FALSE)</f>
        <v>BAR-006</v>
      </c>
      <c r="F109" s="12">
        <f>VLOOKUP(A109,'Cleaned Data'!$A:$S,9,FALSE)</f>
        <v>34</v>
      </c>
    </row>
    <row r="110" spans="1:6" x14ac:dyDescent="0.25">
      <c r="A110" s="2" t="s">
        <v>14</v>
      </c>
      <c r="B110" s="12" t="str">
        <f>VLOOKUP(A110,'Cleaned Data'!A:S,2,FALSE)</f>
        <v>CMOS Image Sensor (CIS)</v>
      </c>
      <c r="C110" s="12">
        <f>VLOOKUP(A110,'Cleaned Data'!$A:$S,4,FALSE)</f>
        <v>2200</v>
      </c>
      <c r="D110" s="12">
        <f>VLOOKUP(A110,'Cleaned Data'!$A:$S,6,FALSE)</f>
        <v>320584</v>
      </c>
      <c r="E110" s="12" t="str">
        <f>VLOOKUP(A110,'Cleaned Data'!A:S,7,FALSE)</f>
        <v>BAR-010</v>
      </c>
      <c r="F110" s="12">
        <f>VLOOKUP(A110,'Cleaned Data'!$A:$S,9,FALSE)</f>
        <v>13</v>
      </c>
    </row>
    <row r="111" spans="1:6" x14ac:dyDescent="0.25">
      <c r="A111" s="7" t="s">
        <v>37</v>
      </c>
      <c r="B111" s="12" t="str">
        <f>VLOOKUP(A111,'Cleaned Data'!A:S,2,FALSE)</f>
        <v>Automotive MCU (16-bit)</v>
      </c>
      <c r="C111" s="12">
        <f>VLOOKUP(A111,'Cleaned Data'!$A:$S,4,FALSE)</f>
        <v>4400</v>
      </c>
      <c r="D111" s="12">
        <f>VLOOKUP(A111,'Cleaned Data'!$A:$S,6,FALSE)</f>
        <v>401060</v>
      </c>
      <c r="E111" s="12" t="str">
        <f>VLOOKUP(A111,'Cleaned Data'!A:S,7,FALSE)</f>
        <v>BAR-004</v>
      </c>
      <c r="F111" s="12">
        <f>VLOOKUP(A111,'Cleaned Data'!$A:$S,9,FALSE)</f>
        <v>33</v>
      </c>
    </row>
    <row r="112" spans="1:6" x14ac:dyDescent="0.25">
      <c r="A112" s="2" t="s">
        <v>53</v>
      </c>
      <c r="B112" s="12" t="str">
        <f>VLOOKUP(A112,'Cleaned Data'!A:S,2,FALSE)</f>
        <v>Silicon Wafer 300mm</v>
      </c>
      <c r="C112" s="12">
        <f>VLOOKUP(A112,'Cleaned Data'!$A:$S,4,FALSE)</f>
        <v>4650</v>
      </c>
      <c r="D112" s="12">
        <f>VLOOKUP(A112,'Cleaned Data'!$A:$S,6,FALSE)</f>
        <v>389158.5</v>
      </c>
      <c r="E112" s="12" t="str">
        <f>VLOOKUP(A112,'Cleaned Data'!A:S,7,FALSE)</f>
        <v>BAR-001</v>
      </c>
      <c r="F112" s="12">
        <f>VLOOKUP(A112,'Cleaned Data'!$A:$S,9,FALSE)</f>
        <v>17</v>
      </c>
    </row>
    <row r="113" spans="1:6" x14ac:dyDescent="0.25">
      <c r="A113" s="7" t="s">
        <v>30</v>
      </c>
      <c r="B113" s="12" t="str">
        <f>VLOOKUP(A113,'Cleaned Data'!A:S,2,FALSE)</f>
        <v>OLED Display Driver IC</v>
      </c>
      <c r="C113" s="12">
        <f>VLOOKUP(A113,'Cleaned Data'!$A:$S,4,FALSE)</f>
        <v>2900</v>
      </c>
      <c r="D113" s="12">
        <f>VLOOKUP(A113,'Cleaned Data'!$A:$S,6,FALSE)</f>
        <v>295713</v>
      </c>
      <c r="E113" s="12" t="str">
        <f>VLOOKUP(A113,'Cleaned Data'!A:S,7,FALSE)</f>
        <v>BAR-008</v>
      </c>
      <c r="F113" s="12">
        <f>VLOOKUP(A113,'Cleaned Data'!$A:$S,9,FALSE)</f>
        <v>27</v>
      </c>
    </row>
    <row r="114" spans="1:6" x14ac:dyDescent="0.25">
      <c r="A114" s="2" t="s">
        <v>59</v>
      </c>
      <c r="B114" s="12" t="str">
        <f>VLOOKUP(A114,'Cleaned Data'!A:S,2,FALSE)</f>
        <v>GaN Fast Charger IC</v>
      </c>
      <c r="C114" s="12">
        <f>VLOOKUP(A114,'Cleaned Data'!$A:$S,4,FALSE)</f>
        <v>3850</v>
      </c>
      <c r="D114" s="12">
        <f>VLOOKUP(A114,'Cleaned Data'!$A:$S,6,FALSE)</f>
        <v>1169553</v>
      </c>
      <c r="E114" s="12" t="str">
        <f>VLOOKUP(A114,'Cleaned Data'!A:S,7,FALSE)</f>
        <v>BAR-009</v>
      </c>
      <c r="F114" s="12">
        <f>VLOOKUP(A114,'Cleaned Data'!$A:$S,9,FALSE)</f>
        <v>19</v>
      </c>
    </row>
    <row r="115" spans="1:6" x14ac:dyDescent="0.25">
      <c r="A115" s="7" t="s">
        <v>30</v>
      </c>
      <c r="B115" s="12" t="str">
        <f>VLOOKUP(A115,'Cleaned Data'!A:S,2,FALSE)</f>
        <v>OLED Display Driver IC</v>
      </c>
      <c r="C115" s="12">
        <f>VLOOKUP(A115,'Cleaned Data'!$A:$S,4,FALSE)</f>
        <v>2900</v>
      </c>
      <c r="D115" s="12">
        <f>VLOOKUP(A115,'Cleaned Data'!$A:$S,6,FALSE)</f>
        <v>295713</v>
      </c>
      <c r="E115" s="12" t="str">
        <f>VLOOKUP(A115,'Cleaned Data'!A:S,7,FALSE)</f>
        <v>BAR-008</v>
      </c>
      <c r="F115" s="12">
        <f>VLOOKUP(A115,'Cleaned Data'!$A:$S,9,FALSE)</f>
        <v>27</v>
      </c>
    </row>
    <row r="116" spans="1:6" x14ac:dyDescent="0.25">
      <c r="A116" s="2" t="s">
        <v>23</v>
      </c>
      <c r="B116" s="12" t="str">
        <f>VLOOKUP(A116,'Cleaned Data'!A:S,2,FALSE)</f>
        <v>GaAs RF Power Amp</v>
      </c>
      <c r="C116" s="12">
        <f>VLOOKUP(A116,'Cleaned Data'!$A:$S,4,FALSE)</f>
        <v>2600</v>
      </c>
      <c r="D116" s="12">
        <f>VLOOKUP(A116,'Cleaned Data'!$A:$S,6,FALSE)</f>
        <v>806494</v>
      </c>
      <c r="E116" s="12" t="str">
        <f>VLOOKUP(A116,'Cleaned Data'!A:S,7,FALSE)</f>
        <v>BAR-002</v>
      </c>
      <c r="F116" s="12">
        <f>VLOOKUP(A116,'Cleaned Data'!$A:$S,9,FALSE)</f>
        <v>33</v>
      </c>
    </row>
    <row r="117" spans="1:6" x14ac:dyDescent="0.25">
      <c r="A117" s="7" t="s">
        <v>30</v>
      </c>
      <c r="B117" s="12" t="str">
        <f>VLOOKUP(A117,'Cleaned Data'!A:S,2,FALSE)</f>
        <v>OLED Display Driver IC</v>
      </c>
      <c r="C117" s="12">
        <f>VLOOKUP(A117,'Cleaned Data'!$A:$S,4,FALSE)</f>
        <v>2900</v>
      </c>
      <c r="D117" s="12">
        <f>VLOOKUP(A117,'Cleaned Data'!$A:$S,6,FALSE)</f>
        <v>295713</v>
      </c>
      <c r="E117" s="12" t="str">
        <f>VLOOKUP(A117,'Cleaned Data'!A:S,7,FALSE)</f>
        <v>BAR-008</v>
      </c>
      <c r="F117" s="12">
        <f>VLOOKUP(A117,'Cleaned Data'!$A:$S,9,FALSE)</f>
        <v>27</v>
      </c>
    </row>
    <row r="118" spans="1:6" x14ac:dyDescent="0.25">
      <c r="A118" s="2" t="s">
        <v>59</v>
      </c>
      <c r="B118" s="12" t="str">
        <f>VLOOKUP(A118,'Cleaned Data'!A:S,2,FALSE)</f>
        <v>GaN Fast Charger IC</v>
      </c>
      <c r="C118" s="12">
        <f>VLOOKUP(A118,'Cleaned Data'!$A:$S,4,FALSE)</f>
        <v>3850</v>
      </c>
      <c r="D118" s="12">
        <f>VLOOKUP(A118,'Cleaned Data'!$A:$S,6,FALSE)</f>
        <v>1169553</v>
      </c>
      <c r="E118" s="12" t="str">
        <f>VLOOKUP(A118,'Cleaned Data'!A:S,7,FALSE)</f>
        <v>BAR-009</v>
      </c>
      <c r="F118" s="12">
        <f>VLOOKUP(A118,'Cleaned Data'!$A:$S,9,FALSE)</f>
        <v>19</v>
      </c>
    </row>
    <row r="119" spans="1:6" x14ac:dyDescent="0.25">
      <c r="A119" s="7" t="s">
        <v>53</v>
      </c>
      <c r="B119" s="12" t="str">
        <f>VLOOKUP(A119,'Cleaned Data'!A:S,2,FALSE)</f>
        <v>Silicon Wafer 300mm</v>
      </c>
      <c r="C119" s="12">
        <f>VLOOKUP(A119,'Cleaned Data'!$A:$S,4,FALSE)</f>
        <v>4650</v>
      </c>
      <c r="D119" s="12">
        <f>VLOOKUP(A119,'Cleaned Data'!$A:$S,6,FALSE)</f>
        <v>389158.5</v>
      </c>
      <c r="E119" s="12" t="str">
        <f>VLOOKUP(A119,'Cleaned Data'!A:S,7,FALSE)</f>
        <v>BAR-001</v>
      </c>
      <c r="F119" s="12">
        <f>VLOOKUP(A119,'Cleaned Data'!$A:$S,9,FALSE)</f>
        <v>17</v>
      </c>
    </row>
    <row r="120" spans="1:6" x14ac:dyDescent="0.25">
      <c r="A120" s="2" t="s">
        <v>89</v>
      </c>
      <c r="B120" s="12" t="str">
        <f>VLOOKUP(A120,'Cleaned Data'!A:S,2,FALSE)</f>
        <v>NAND Flash 3D 128-Layer</v>
      </c>
      <c r="C120" s="12">
        <f>VLOOKUP(A120,'Cleaned Data'!$A:$S,4,FALSE)</f>
        <v>4750</v>
      </c>
      <c r="D120" s="12">
        <f>VLOOKUP(A120,'Cleaned Data'!$A:$S,6,FALSE)</f>
        <v>537225</v>
      </c>
      <c r="E120" s="12" t="str">
        <f>VLOOKUP(A120,'Cleaned Data'!A:S,7,FALSE)</f>
        <v>BAR-003</v>
      </c>
      <c r="F120" s="12">
        <f>VLOOKUP(A120,'Cleaned Data'!$A:$S,9,FALSE)</f>
        <v>18</v>
      </c>
    </row>
    <row r="121" spans="1:6" x14ac:dyDescent="0.25">
      <c r="A121" s="7" t="s">
        <v>106</v>
      </c>
      <c r="B121" s="12" t="str">
        <f>VLOOKUP(A121,'Cleaned Data'!A:S,2,FALSE)</f>
        <v>MEMS Pressure Sensor</v>
      </c>
      <c r="C121" s="12">
        <f>VLOOKUP(A121,'Cleaned Data'!$A:$S,4,FALSE)</f>
        <v>4050</v>
      </c>
      <c r="D121" s="12">
        <f>VLOOKUP(A121,'Cleaned Data'!$A:$S,6,FALSE)</f>
        <v>880632</v>
      </c>
      <c r="E121" s="12" t="str">
        <f>VLOOKUP(A121,'Cleaned Data'!A:S,7,FALSE)</f>
        <v>BAR-006</v>
      </c>
      <c r="F121" s="12">
        <f>VLOOKUP(A121,'Cleaned Data'!$A:$S,9,FALSE)</f>
        <v>34</v>
      </c>
    </row>
    <row r="122" spans="1:6" x14ac:dyDescent="0.25">
      <c r="A122" s="2" t="s">
        <v>14</v>
      </c>
      <c r="B122" s="12" t="str">
        <f>VLOOKUP(A122,'Cleaned Data'!A:S,2,FALSE)</f>
        <v>CMOS Image Sensor (CIS)</v>
      </c>
      <c r="C122" s="12">
        <f>VLOOKUP(A122,'Cleaned Data'!$A:$S,4,FALSE)</f>
        <v>2200</v>
      </c>
      <c r="D122" s="12">
        <f>VLOOKUP(A122,'Cleaned Data'!$A:$S,6,FALSE)</f>
        <v>320584</v>
      </c>
      <c r="E122" s="12" t="str">
        <f>VLOOKUP(A122,'Cleaned Data'!A:S,7,FALSE)</f>
        <v>BAR-010</v>
      </c>
      <c r="F122" s="12">
        <f>VLOOKUP(A122,'Cleaned Data'!$A:$S,9,FALSE)</f>
        <v>13</v>
      </c>
    </row>
    <row r="123" spans="1:6" x14ac:dyDescent="0.25">
      <c r="A123" s="7" t="s">
        <v>23</v>
      </c>
      <c r="B123" s="12" t="str">
        <f>VLOOKUP(A123,'Cleaned Data'!A:S,2,FALSE)</f>
        <v>GaAs RF Power Amp</v>
      </c>
      <c r="C123" s="12">
        <f>VLOOKUP(A123,'Cleaned Data'!$A:$S,4,FALSE)</f>
        <v>2600</v>
      </c>
      <c r="D123" s="12">
        <f>VLOOKUP(A123,'Cleaned Data'!$A:$S,6,FALSE)</f>
        <v>806494</v>
      </c>
      <c r="E123" s="12" t="str">
        <f>VLOOKUP(A123,'Cleaned Data'!A:S,7,FALSE)</f>
        <v>BAR-002</v>
      </c>
      <c r="F123" s="12">
        <f>VLOOKUP(A123,'Cleaned Data'!$A:$S,9,FALSE)</f>
        <v>33</v>
      </c>
    </row>
    <row r="124" spans="1:6" x14ac:dyDescent="0.25">
      <c r="A124" s="2" t="s">
        <v>37</v>
      </c>
      <c r="B124" s="12" t="str">
        <f>VLOOKUP(A124,'Cleaned Data'!A:S,2,FALSE)</f>
        <v>Automotive MCU (16-bit)</v>
      </c>
      <c r="C124" s="12">
        <f>VLOOKUP(A124,'Cleaned Data'!$A:$S,4,FALSE)</f>
        <v>4400</v>
      </c>
      <c r="D124" s="12">
        <f>VLOOKUP(A124,'Cleaned Data'!$A:$S,6,FALSE)</f>
        <v>401060</v>
      </c>
      <c r="E124" s="12" t="str">
        <f>VLOOKUP(A124,'Cleaned Data'!A:S,7,FALSE)</f>
        <v>BAR-004</v>
      </c>
      <c r="F124" s="12">
        <f>VLOOKUP(A124,'Cleaned Data'!$A:$S,9,FALSE)</f>
        <v>33</v>
      </c>
    </row>
    <row r="125" spans="1:6" x14ac:dyDescent="0.25">
      <c r="A125" s="7" t="s">
        <v>53</v>
      </c>
      <c r="B125" s="12" t="str">
        <f>VLOOKUP(A125,'Cleaned Data'!A:S,2,FALSE)</f>
        <v>Silicon Wafer 300mm</v>
      </c>
      <c r="C125" s="12">
        <f>VLOOKUP(A125,'Cleaned Data'!$A:$S,4,FALSE)</f>
        <v>4650</v>
      </c>
      <c r="D125" s="12">
        <f>VLOOKUP(A125,'Cleaned Data'!$A:$S,6,FALSE)</f>
        <v>389158.5</v>
      </c>
      <c r="E125" s="12" t="str">
        <f>VLOOKUP(A125,'Cleaned Data'!A:S,7,FALSE)</f>
        <v>BAR-001</v>
      </c>
      <c r="F125" s="12">
        <f>VLOOKUP(A125,'Cleaned Data'!$A:$S,9,FALSE)</f>
        <v>17</v>
      </c>
    </row>
    <row r="126" spans="1:6" x14ac:dyDescent="0.25">
      <c r="A126" s="2" t="s">
        <v>37</v>
      </c>
      <c r="B126" s="12" t="str">
        <f>VLOOKUP(A126,'Cleaned Data'!A:S,2,FALSE)</f>
        <v>Automotive MCU (16-bit)</v>
      </c>
      <c r="C126" s="12">
        <f>VLOOKUP(A126,'Cleaned Data'!$A:$S,4,FALSE)</f>
        <v>4400</v>
      </c>
      <c r="D126" s="12">
        <f>VLOOKUP(A126,'Cleaned Data'!$A:$S,6,FALSE)</f>
        <v>401060</v>
      </c>
      <c r="E126" s="12" t="str">
        <f>VLOOKUP(A126,'Cleaned Data'!A:S,7,FALSE)</f>
        <v>BAR-004</v>
      </c>
      <c r="F126" s="12">
        <f>VLOOKUP(A126,'Cleaned Data'!$A:$S,9,FALSE)</f>
        <v>33</v>
      </c>
    </row>
    <row r="127" spans="1:6" x14ac:dyDescent="0.25">
      <c r="A127" s="7" t="s">
        <v>53</v>
      </c>
      <c r="B127" s="12" t="str">
        <f>VLOOKUP(A127,'Cleaned Data'!A:S,2,FALSE)</f>
        <v>Silicon Wafer 300mm</v>
      </c>
      <c r="C127" s="12">
        <f>VLOOKUP(A127,'Cleaned Data'!$A:$S,4,FALSE)</f>
        <v>4650</v>
      </c>
      <c r="D127" s="12">
        <f>VLOOKUP(A127,'Cleaned Data'!$A:$S,6,FALSE)</f>
        <v>389158.5</v>
      </c>
      <c r="E127" s="12" t="str">
        <f>VLOOKUP(A127,'Cleaned Data'!A:S,7,FALSE)</f>
        <v>BAR-001</v>
      </c>
      <c r="F127" s="12">
        <f>VLOOKUP(A127,'Cleaned Data'!$A:$S,9,FALSE)</f>
        <v>17</v>
      </c>
    </row>
    <row r="128" spans="1:6" x14ac:dyDescent="0.25">
      <c r="A128" s="2" t="s">
        <v>45</v>
      </c>
      <c r="B128" s="12" t="str">
        <f>VLOOKUP(A128,'Cleaned Data'!A:S,2,FALSE)</f>
        <v>IGBT Power Module</v>
      </c>
      <c r="C128" s="12">
        <f>VLOOKUP(A128,'Cleaned Data'!$A:$S,4,FALSE)</f>
        <v>3300</v>
      </c>
      <c r="D128" s="12">
        <f>VLOOKUP(A128,'Cleaned Data'!$A:$S,6,FALSE)</f>
        <v>445995</v>
      </c>
      <c r="E128" s="12" t="str">
        <f>VLOOKUP(A128,'Cleaned Data'!A:S,7,FALSE)</f>
        <v>BAR-007</v>
      </c>
      <c r="F128" s="12">
        <f>VLOOKUP(A128,'Cleaned Data'!$A:$S,9,FALSE)</f>
        <v>41</v>
      </c>
    </row>
    <row r="129" spans="1:6" x14ac:dyDescent="0.25">
      <c r="A129" s="7" t="s">
        <v>14</v>
      </c>
      <c r="B129" s="12" t="str">
        <f>VLOOKUP(A129,'Cleaned Data'!A:S,2,FALSE)</f>
        <v>CMOS Image Sensor (CIS)</v>
      </c>
      <c r="C129" s="12">
        <f>VLOOKUP(A129,'Cleaned Data'!$A:$S,4,FALSE)</f>
        <v>2200</v>
      </c>
      <c r="D129" s="12">
        <f>VLOOKUP(A129,'Cleaned Data'!$A:$S,6,FALSE)</f>
        <v>320584</v>
      </c>
      <c r="E129" s="12" t="str">
        <f>VLOOKUP(A129,'Cleaned Data'!A:S,7,FALSE)</f>
        <v>BAR-010</v>
      </c>
      <c r="F129" s="12">
        <f>VLOOKUP(A129,'Cleaned Data'!$A:$S,9,FALSE)</f>
        <v>13</v>
      </c>
    </row>
    <row r="130" spans="1:6" x14ac:dyDescent="0.25">
      <c r="A130" s="2" t="s">
        <v>53</v>
      </c>
      <c r="B130" s="12" t="str">
        <f>VLOOKUP(A130,'Cleaned Data'!A:S,2,FALSE)</f>
        <v>Silicon Wafer 300mm</v>
      </c>
      <c r="C130" s="12">
        <f>VLOOKUP(A130,'Cleaned Data'!$A:$S,4,FALSE)</f>
        <v>4650</v>
      </c>
      <c r="D130" s="12">
        <f>VLOOKUP(A130,'Cleaned Data'!$A:$S,6,FALSE)</f>
        <v>389158.5</v>
      </c>
      <c r="E130" s="12" t="str">
        <f>VLOOKUP(A130,'Cleaned Data'!A:S,7,FALSE)</f>
        <v>BAR-001</v>
      </c>
      <c r="F130" s="12">
        <f>VLOOKUP(A130,'Cleaned Data'!$A:$S,9,FALSE)</f>
        <v>17</v>
      </c>
    </row>
    <row r="131" spans="1:6" x14ac:dyDescent="0.25">
      <c r="A131" s="7" t="s">
        <v>37</v>
      </c>
      <c r="B131" s="12" t="str">
        <f>VLOOKUP(A131,'Cleaned Data'!A:S,2,FALSE)</f>
        <v>Automotive MCU (16-bit)</v>
      </c>
      <c r="C131" s="12">
        <f>VLOOKUP(A131,'Cleaned Data'!$A:$S,4,FALSE)</f>
        <v>4400</v>
      </c>
      <c r="D131" s="12">
        <f>VLOOKUP(A131,'Cleaned Data'!$A:$S,6,FALSE)</f>
        <v>401060</v>
      </c>
      <c r="E131" s="12" t="str">
        <f>VLOOKUP(A131,'Cleaned Data'!A:S,7,FALSE)</f>
        <v>BAR-004</v>
      </c>
      <c r="F131" s="12">
        <f>VLOOKUP(A131,'Cleaned Data'!$A:$S,9,FALSE)</f>
        <v>33</v>
      </c>
    </row>
    <row r="132" spans="1:6" x14ac:dyDescent="0.25">
      <c r="A132" s="2" t="s">
        <v>53</v>
      </c>
      <c r="B132" s="12" t="str">
        <f>VLOOKUP(A132,'Cleaned Data'!A:S,2,FALSE)</f>
        <v>Silicon Wafer 300mm</v>
      </c>
      <c r="C132" s="12">
        <f>VLOOKUP(A132,'Cleaned Data'!$A:$S,4,FALSE)</f>
        <v>4650</v>
      </c>
      <c r="D132" s="12">
        <f>VLOOKUP(A132,'Cleaned Data'!$A:$S,6,FALSE)</f>
        <v>389158.5</v>
      </c>
      <c r="E132" s="12" t="str">
        <f>VLOOKUP(A132,'Cleaned Data'!A:S,7,FALSE)</f>
        <v>BAR-001</v>
      </c>
      <c r="F132" s="12">
        <f>VLOOKUP(A132,'Cleaned Data'!$A:$S,9,FALSE)</f>
        <v>17</v>
      </c>
    </row>
    <row r="133" spans="1:6" x14ac:dyDescent="0.25">
      <c r="A133" s="7" t="s">
        <v>37</v>
      </c>
      <c r="B133" s="12" t="str">
        <f>VLOOKUP(A133,'Cleaned Data'!A:S,2,FALSE)</f>
        <v>Automotive MCU (16-bit)</v>
      </c>
      <c r="C133" s="12">
        <f>VLOOKUP(A133,'Cleaned Data'!$A:$S,4,FALSE)</f>
        <v>4400</v>
      </c>
      <c r="D133" s="12">
        <f>VLOOKUP(A133,'Cleaned Data'!$A:$S,6,FALSE)</f>
        <v>401060</v>
      </c>
      <c r="E133" s="12" t="str">
        <f>VLOOKUP(A133,'Cleaned Data'!A:S,7,FALSE)</f>
        <v>BAR-004</v>
      </c>
      <c r="F133" s="12">
        <f>VLOOKUP(A133,'Cleaned Data'!$A:$S,9,FALSE)</f>
        <v>33</v>
      </c>
    </row>
    <row r="134" spans="1:6" x14ac:dyDescent="0.25">
      <c r="A134" s="2" t="s">
        <v>37</v>
      </c>
      <c r="B134" s="12" t="str">
        <f>VLOOKUP(A134,'Cleaned Data'!A:S,2,FALSE)</f>
        <v>Automotive MCU (16-bit)</v>
      </c>
      <c r="C134" s="12">
        <f>VLOOKUP(A134,'Cleaned Data'!$A:$S,4,FALSE)</f>
        <v>4400</v>
      </c>
      <c r="D134" s="12">
        <f>VLOOKUP(A134,'Cleaned Data'!$A:$S,6,FALSE)</f>
        <v>401060</v>
      </c>
      <c r="E134" s="12" t="str">
        <f>VLOOKUP(A134,'Cleaned Data'!A:S,7,FALSE)</f>
        <v>BAR-004</v>
      </c>
      <c r="F134" s="12">
        <f>VLOOKUP(A134,'Cleaned Data'!$A:$S,9,FALSE)</f>
        <v>33</v>
      </c>
    </row>
    <row r="135" spans="1:6" x14ac:dyDescent="0.25">
      <c r="A135" s="7" t="s">
        <v>14</v>
      </c>
      <c r="B135" s="12" t="str">
        <f>VLOOKUP(A135,'Cleaned Data'!A:S,2,FALSE)</f>
        <v>CMOS Image Sensor (CIS)</v>
      </c>
      <c r="C135" s="12">
        <f>VLOOKUP(A135,'Cleaned Data'!$A:$S,4,FALSE)</f>
        <v>2200</v>
      </c>
      <c r="D135" s="12">
        <f>VLOOKUP(A135,'Cleaned Data'!$A:$S,6,FALSE)</f>
        <v>320584</v>
      </c>
      <c r="E135" s="12" t="str">
        <f>VLOOKUP(A135,'Cleaned Data'!A:S,7,FALSE)</f>
        <v>BAR-010</v>
      </c>
      <c r="F135" s="12">
        <f>VLOOKUP(A135,'Cleaned Data'!$A:$S,9,FALSE)</f>
        <v>13</v>
      </c>
    </row>
    <row r="136" spans="1:6" x14ac:dyDescent="0.25">
      <c r="A136" s="2" t="s">
        <v>37</v>
      </c>
      <c r="B136" s="12" t="str">
        <f>VLOOKUP(A136,'Cleaned Data'!A:S,2,FALSE)</f>
        <v>Automotive MCU (16-bit)</v>
      </c>
      <c r="C136" s="12">
        <f>VLOOKUP(A136,'Cleaned Data'!$A:$S,4,FALSE)</f>
        <v>4400</v>
      </c>
      <c r="D136" s="12">
        <f>VLOOKUP(A136,'Cleaned Data'!$A:$S,6,FALSE)</f>
        <v>401060</v>
      </c>
      <c r="E136" s="12" t="str">
        <f>VLOOKUP(A136,'Cleaned Data'!A:S,7,FALSE)</f>
        <v>BAR-004</v>
      </c>
      <c r="F136" s="12">
        <f>VLOOKUP(A136,'Cleaned Data'!$A:$S,9,FALSE)</f>
        <v>33</v>
      </c>
    </row>
    <row r="137" spans="1:6" x14ac:dyDescent="0.25">
      <c r="A137" s="7" t="s">
        <v>106</v>
      </c>
      <c r="B137" s="12" t="str">
        <f>VLOOKUP(A137,'Cleaned Data'!A:S,2,FALSE)</f>
        <v>MEMS Pressure Sensor</v>
      </c>
      <c r="C137" s="12">
        <f>VLOOKUP(A137,'Cleaned Data'!$A:$S,4,FALSE)</f>
        <v>4050</v>
      </c>
      <c r="D137" s="12">
        <f>VLOOKUP(A137,'Cleaned Data'!$A:$S,6,FALSE)</f>
        <v>880632</v>
      </c>
      <c r="E137" s="12" t="str">
        <f>VLOOKUP(A137,'Cleaned Data'!A:S,7,FALSE)</f>
        <v>BAR-006</v>
      </c>
      <c r="F137" s="12">
        <f>VLOOKUP(A137,'Cleaned Data'!$A:$S,9,FALSE)</f>
        <v>34</v>
      </c>
    </row>
    <row r="138" spans="1:6" x14ac:dyDescent="0.25">
      <c r="A138" s="2" t="s">
        <v>53</v>
      </c>
      <c r="B138" s="12" t="str">
        <f>VLOOKUP(A138,'Cleaned Data'!A:S,2,FALSE)</f>
        <v>Silicon Wafer 300mm</v>
      </c>
      <c r="C138" s="12">
        <f>VLOOKUP(A138,'Cleaned Data'!$A:$S,4,FALSE)</f>
        <v>4650</v>
      </c>
      <c r="D138" s="12">
        <f>VLOOKUP(A138,'Cleaned Data'!$A:$S,6,FALSE)</f>
        <v>389158.5</v>
      </c>
      <c r="E138" s="12" t="str">
        <f>VLOOKUP(A138,'Cleaned Data'!A:S,7,FALSE)</f>
        <v>BAR-001</v>
      </c>
      <c r="F138" s="12">
        <f>VLOOKUP(A138,'Cleaned Data'!$A:$S,9,FALSE)</f>
        <v>17</v>
      </c>
    </row>
    <row r="139" spans="1:6" x14ac:dyDescent="0.25">
      <c r="A139" s="7" t="s">
        <v>45</v>
      </c>
      <c r="B139" s="12" t="str">
        <f>VLOOKUP(A139,'Cleaned Data'!A:S,2,FALSE)</f>
        <v>IGBT Power Module</v>
      </c>
      <c r="C139" s="12">
        <f>VLOOKUP(A139,'Cleaned Data'!$A:$S,4,FALSE)</f>
        <v>3300</v>
      </c>
      <c r="D139" s="12">
        <f>VLOOKUP(A139,'Cleaned Data'!$A:$S,6,FALSE)</f>
        <v>445995</v>
      </c>
      <c r="E139" s="12" t="str">
        <f>VLOOKUP(A139,'Cleaned Data'!A:S,7,FALSE)</f>
        <v>BAR-007</v>
      </c>
      <c r="F139" s="12">
        <f>VLOOKUP(A139,'Cleaned Data'!$A:$S,9,FALSE)</f>
        <v>41</v>
      </c>
    </row>
    <row r="140" spans="1:6" x14ac:dyDescent="0.25">
      <c r="A140" s="2" t="s">
        <v>37</v>
      </c>
      <c r="B140" s="12" t="str">
        <f>VLOOKUP(A140,'Cleaned Data'!A:S,2,FALSE)</f>
        <v>Automotive MCU (16-bit)</v>
      </c>
      <c r="C140" s="12">
        <f>VLOOKUP(A140,'Cleaned Data'!$A:$S,4,FALSE)</f>
        <v>4400</v>
      </c>
      <c r="D140" s="12">
        <f>VLOOKUP(A140,'Cleaned Data'!$A:$S,6,FALSE)</f>
        <v>401060</v>
      </c>
      <c r="E140" s="12" t="str">
        <f>VLOOKUP(A140,'Cleaned Data'!A:S,7,FALSE)</f>
        <v>BAR-004</v>
      </c>
      <c r="F140" s="12">
        <f>VLOOKUP(A140,'Cleaned Data'!$A:$S,9,FALSE)</f>
        <v>33</v>
      </c>
    </row>
    <row r="141" spans="1:6" x14ac:dyDescent="0.25">
      <c r="A141" s="7" t="s">
        <v>89</v>
      </c>
      <c r="B141" s="12" t="str">
        <f>VLOOKUP(A141,'Cleaned Data'!A:S,2,FALSE)</f>
        <v>NAND Flash 3D 128-Layer</v>
      </c>
      <c r="C141" s="12">
        <f>VLOOKUP(A141,'Cleaned Data'!$A:$S,4,FALSE)</f>
        <v>4750</v>
      </c>
      <c r="D141" s="12">
        <f>VLOOKUP(A141,'Cleaned Data'!$A:$S,6,FALSE)</f>
        <v>537225</v>
      </c>
      <c r="E141" s="12" t="str">
        <f>VLOOKUP(A141,'Cleaned Data'!A:S,7,FALSE)</f>
        <v>BAR-003</v>
      </c>
      <c r="F141" s="12">
        <f>VLOOKUP(A141,'Cleaned Data'!$A:$S,9,FALSE)</f>
        <v>18</v>
      </c>
    </row>
    <row r="142" spans="1:6" x14ac:dyDescent="0.25">
      <c r="A142" s="2" t="s">
        <v>89</v>
      </c>
      <c r="B142" s="12" t="str">
        <f>VLOOKUP(A142,'Cleaned Data'!A:S,2,FALSE)</f>
        <v>NAND Flash 3D 128-Layer</v>
      </c>
      <c r="C142" s="12">
        <f>VLOOKUP(A142,'Cleaned Data'!$A:$S,4,FALSE)</f>
        <v>4750</v>
      </c>
      <c r="D142" s="12">
        <f>VLOOKUP(A142,'Cleaned Data'!$A:$S,6,FALSE)</f>
        <v>537225</v>
      </c>
      <c r="E142" s="12" t="str">
        <f>VLOOKUP(A142,'Cleaned Data'!A:S,7,FALSE)</f>
        <v>BAR-003</v>
      </c>
      <c r="F142" s="12">
        <f>VLOOKUP(A142,'Cleaned Data'!$A:$S,9,FALSE)</f>
        <v>18</v>
      </c>
    </row>
    <row r="143" spans="1:6" x14ac:dyDescent="0.25">
      <c r="A143" s="7" t="s">
        <v>59</v>
      </c>
      <c r="B143" s="12" t="str">
        <f>VLOOKUP(A143,'Cleaned Data'!A:S,2,FALSE)</f>
        <v>GaN Fast Charger IC</v>
      </c>
      <c r="C143" s="12">
        <f>VLOOKUP(A143,'Cleaned Data'!$A:$S,4,FALSE)</f>
        <v>3850</v>
      </c>
      <c r="D143" s="12">
        <f>VLOOKUP(A143,'Cleaned Data'!$A:$S,6,FALSE)</f>
        <v>1169553</v>
      </c>
      <c r="E143" s="12" t="str">
        <f>VLOOKUP(A143,'Cleaned Data'!A:S,7,FALSE)</f>
        <v>BAR-009</v>
      </c>
      <c r="F143" s="12">
        <f>VLOOKUP(A143,'Cleaned Data'!$A:$S,9,FALSE)</f>
        <v>19</v>
      </c>
    </row>
    <row r="144" spans="1:6" x14ac:dyDescent="0.25">
      <c r="A144" s="2" t="s">
        <v>106</v>
      </c>
      <c r="B144" s="12" t="str">
        <f>VLOOKUP(A144,'Cleaned Data'!A:S,2,FALSE)</f>
        <v>MEMS Pressure Sensor</v>
      </c>
      <c r="C144" s="12">
        <f>VLOOKUP(A144,'Cleaned Data'!$A:$S,4,FALSE)</f>
        <v>4050</v>
      </c>
      <c r="D144" s="12">
        <f>VLOOKUP(A144,'Cleaned Data'!$A:$S,6,FALSE)</f>
        <v>880632</v>
      </c>
      <c r="E144" s="12" t="str">
        <f>VLOOKUP(A144,'Cleaned Data'!A:S,7,FALSE)</f>
        <v>BAR-006</v>
      </c>
      <c r="F144" s="12">
        <f>VLOOKUP(A144,'Cleaned Data'!$A:$S,9,FALSE)</f>
        <v>34</v>
      </c>
    </row>
    <row r="145" spans="1:6" x14ac:dyDescent="0.25">
      <c r="A145" s="7" t="s">
        <v>14</v>
      </c>
      <c r="B145" s="12" t="str">
        <f>VLOOKUP(A145,'Cleaned Data'!A:S,2,FALSE)</f>
        <v>CMOS Image Sensor (CIS)</v>
      </c>
      <c r="C145" s="12">
        <f>VLOOKUP(A145,'Cleaned Data'!$A:$S,4,FALSE)</f>
        <v>2200</v>
      </c>
      <c r="D145" s="12">
        <f>VLOOKUP(A145,'Cleaned Data'!$A:$S,6,FALSE)</f>
        <v>320584</v>
      </c>
      <c r="E145" s="12" t="str">
        <f>VLOOKUP(A145,'Cleaned Data'!A:S,7,FALSE)</f>
        <v>BAR-010</v>
      </c>
      <c r="F145" s="12">
        <f>VLOOKUP(A145,'Cleaned Data'!$A:$S,9,FALSE)</f>
        <v>13</v>
      </c>
    </row>
    <row r="146" spans="1:6" x14ac:dyDescent="0.25">
      <c r="A146" s="2" t="s">
        <v>37</v>
      </c>
      <c r="B146" s="12" t="str">
        <f>VLOOKUP(A146,'Cleaned Data'!A:S,2,FALSE)</f>
        <v>Automotive MCU (16-bit)</v>
      </c>
      <c r="C146" s="12">
        <f>VLOOKUP(A146,'Cleaned Data'!$A:$S,4,FALSE)</f>
        <v>4400</v>
      </c>
      <c r="D146" s="12">
        <f>VLOOKUP(A146,'Cleaned Data'!$A:$S,6,FALSE)</f>
        <v>401060</v>
      </c>
      <c r="E146" s="12" t="str">
        <f>VLOOKUP(A146,'Cleaned Data'!A:S,7,FALSE)</f>
        <v>BAR-004</v>
      </c>
      <c r="F146" s="12">
        <f>VLOOKUP(A146,'Cleaned Data'!$A:$S,9,FALSE)</f>
        <v>33</v>
      </c>
    </row>
    <row r="147" spans="1:6" x14ac:dyDescent="0.25">
      <c r="A147" s="7" t="s">
        <v>23</v>
      </c>
      <c r="B147" s="12" t="str">
        <f>VLOOKUP(A147,'Cleaned Data'!A:S,2,FALSE)</f>
        <v>GaAs RF Power Amp</v>
      </c>
      <c r="C147" s="12">
        <f>VLOOKUP(A147,'Cleaned Data'!$A:$S,4,FALSE)</f>
        <v>2600</v>
      </c>
      <c r="D147" s="12">
        <f>VLOOKUP(A147,'Cleaned Data'!$A:$S,6,FALSE)</f>
        <v>806494</v>
      </c>
      <c r="E147" s="12" t="str">
        <f>VLOOKUP(A147,'Cleaned Data'!A:S,7,FALSE)</f>
        <v>BAR-002</v>
      </c>
      <c r="F147" s="12">
        <f>VLOOKUP(A147,'Cleaned Data'!$A:$S,9,FALSE)</f>
        <v>33</v>
      </c>
    </row>
    <row r="148" spans="1:6" x14ac:dyDescent="0.25">
      <c r="A148" s="2" t="s">
        <v>45</v>
      </c>
      <c r="B148" s="12" t="str">
        <f>VLOOKUP(A148,'Cleaned Data'!A:S,2,FALSE)</f>
        <v>IGBT Power Module</v>
      </c>
      <c r="C148" s="12">
        <f>VLOOKUP(A148,'Cleaned Data'!$A:$S,4,FALSE)</f>
        <v>3300</v>
      </c>
      <c r="D148" s="12">
        <f>VLOOKUP(A148,'Cleaned Data'!$A:$S,6,FALSE)</f>
        <v>445995</v>
      </c>
      <c r="E148" s="12" t="str">
        <f>VLOOKUP(A148,'Cleaned Data'!A:S,7,FALSE)</f>
        <v>BAR-007</v>
      </c>
      <c r="F148" s="12">
        <f>VLOOKUP(A148,'Cleaned Data'!$A:$S,9,FALSE)</f>
        <v>41</v>
      </c>
    </row>
    <row r="149" spans="1:6" x14ac:dyDescent="0.25">
      <c r="A149" s="7" t="s">
        <v>23</v>
      </c>
      <c r="B149" s="12" t="str">
        <f>VLOOKUP(A149,'Cleaned Data'!A:S,2,FALSE)</f>
        <v>GaAs RF Power Amp</v>
      </c>
      <c r="C149" s="12">
        <f>VLOOKUP(A149,'Cleaned Data'!$A:$S,4,FALSE)</f>
        <v>2600</v>
      </c>
      <c r="D149" s="12">
        <f>VLOOKUP(A149,'Cleaned Data'!$A:$S,6,FALSE)</f>
        <v>806494</v>
      </c>
      <c r="E149" s="12" t="str">
        <f>VLOOKUP(A149,'Cleaned Data'!A:S,7,FALSE)</f>
        <v>BAR-002</v>
      </c>
      <c r="F149" s="12">
        <f>VLOOKUP(A149,'Cleaned Data'!$A:$S,9,FALSE)</f>
        <v>33</v>
      </c>
    </row>
    <row r="150" spans="1:6" x14ac:dyDescent="0.25">
      <c r="A150" s="2" t="s">
        <v>30</v>
      </c>
      <c r="B150" s="12" t="str">
        <f>VLOOKUP(A150,'Cleaned Data'!A:S,2,FALSE)</f>
        <v>OLED Display Driver IC</v>
      </c>
      <c r="C150" s="12">
        <f>VLOOKUP(A150,'Cleaned Data'!$A:$S,4,FALSE)</f>
        <v>2900</v>
      </c>
      <c r="D150" s="12">
        <f>VLOOKUP(A150,'Cleaned Data'!$A:$S,6,FALSE)</f>
        <v>295713</v>
      </c>
      <c r="E150" s="12" t="str">
        <f>VLOOKUP(A150,'Cleaned Data'!A:S,7,FALSE)</f>
        <v>BAR-008</v>
      </c>
      <c r="F150" s="12">
        <f>VLOOKUP(A150,'Cleaned Data'!$A:$S,9,FALSE)</f>
        <v>27</v>
      </c>
    </row>
    <row r="151" spans="1:6" x14ac:dyDescent="0.25">
      <c r="A151" s="7" t="s">
        <v>45</v>
      </c>
      <c r="B151" s="12" t="str">
        <f>VLOOKUP(A151,'Cleaned Data'!A:S,2,FALSE)</f>
        <v>IGBT Power Module</v>
      </c>
      <c r="C151" s="12">
        <f>VLOOKUP(A151,'Cleaned Data'!$A:$S,4,FALSE)</f>
        <v>3300</v>
      </c>
      <c r="D151" s="12">
        <f>VLOOKUP(A151,'Cleaned Data'!$A:$S,6,FALSE)</f>
        <v>445995</v>
      </c>
      <c r="E151" s="12" t="str">
        <f>VLOOKUP(A151,'Cleaned Data'!A:S,7,FALSE)</f>
        <v>BAR-007</v>
      </c>
      <c r="F151" s="12">
        <f>VLOOKUP(A151,'Cleaned Data'!$A:$S,9,FALSE)</f>
        <v>41</v>
      </c>
    </row>
    <row r="152" spans="1:6" x14ac:dyDescent="0.25">
      <c r="A152" s="2" t="s">
        <v>67</v>
      </c>
      <c r="B152" s="12" t="str">
        <f>VLOOKUP(A152,'Cleaned Data'!A:S,2,FALSE)</f>
        <v>AI Accelerator GPU</v>
      </c>
      <c r="C152" s="12">
        <f>VLOOKUP(A152,'Cleaned Data'!$A:$S,4,FALSE)</f>
        <v>2100</v>
      </c>
      <c r="D152" s="12">
        <f>VLOOKUP(A152,'Cleaned Data'!$A:$S,6,FALSE)</f>
        <v>898905</v>
      </c>
      <c r="E152" s="12" t="str">
        <f>VLOOKUP(A152,'Cleaned Data'!A:S,7,FALSE)</f>
        <v>BAR-005</v>
      </c>
      <c r="F152" s="12">
        <f>VLOOKUP(A152,'Cleaned Data'!$A:$S,9,FALSE)</f>
        <v>39</v>
      </c>
    </row>
    <row r="153" spans="1:6" x14ac:dyDescent="0.25">
      <c r="A153" s="7" t="s">
        <v>59</v>
      </c>
      <c r="B153" s="12" t="str">
        <f>VLOOKUP(A153,'Cleaned Data'!A:S,2,FALSE)</f>
        <v>GaN Fast Charger IC</v>
      </c>
      <c r="C153" s="12">
        <f>VLOOKUP(A153,'Cleaned Data'!$A:$S,4,FALSE)</f>
        <v>3850</v>
      </c>
      <c r="D153" s="12">
        <f>VLOOKUP(A153,'Cleaned Data'!$A:$S,6,FALSE)</f>
        <v>1169553</v>
      </c>
      <c r="E153" s="12" t="str">
        <f>VLOOKUP(A153,'Cleaned Data'!A:S,7,FALSE)</f>
        <v>BAR-009</v>
      </c>
      <c r="F153" s="12">
        <f>VLOOKUP(A153,'Cleaned Data'!$A:$S,9,FALSE)</f>
        <v>19</v>
      </c>
    </row>
    <row r="154" spans="1:6" x14ac:dyDescent="0.25">
      <c r="A154" s="2" t="s">
        <v>89</v>
      </c>
      <c r="B154" s="12" t="str">
        <f>VLOOKUP(A154,'Cleaned Data'!A:S,2,FALSE)</f>
        <v>NAND Flash 3D 128-Layer</v>
      </c>
      <c r="C154" s="12">
        <f>VLOOKUP(A154,'Cleaned Data'!$A:$S,4,FALSE)</f>
        <v>4750</v>
      </c>
      <c r="D154" s="12">
        <f>VLOOKUP(A154,'Cleaned Data'!$A:$S,6,FALSE)</f>
        <v>537225</v>
      </c>
      <c r="E154" s="12" t="str">
        <f>VLOOKUP(A154,'Cleaned Data'!A:S,7,FALSE)</f>
        <v>BAR-003</v>
      </c>
      <c r="F154" s="12">
        <f>VLOOKUP(A154,'Cleaned Data'!$A:$S,9,FALSE)</f>
        <v>18</v>
      </c>
    </row>
    <row r="155" spans="1:6" x14ac:dyDescent="0.25">
      <c r="A155" s="7" t="s">
        <v>53</v>
      </c>
      <c r="B155" s="12" t="str">
        <f>VLOOKUP(A155,'Cleaned Data'!A:S,2,FALSE)</f>
        <v>Silicon Wafer 300mm</v>
      </c>
      <c r="C155" s="12">
        <f>VLOOKUP(A155,'Cleaned Data'!$A:$S,4,FALSE)</f>
        <v>4650</v>
      </c>
      <c r="D155" s="12">
        <f>VLOOKUP(A155,'Cleaned Data'!$A:$S,6,FALSE)</f>
        <v>389158.5</v>
      </c>
      <c r="E155" s="12" t="str">
        <f>VLOOKUP(A155,'Cleaned Data'!A:S,7,FALSE)</f>
        <v>BAR-001</v>
      </c>
      <c r="F155" s="12">
        <f>VLOOKUP(A155,'Cleaned Data'!$A:$S,9,FALSE)</f>
        <v>17</v>
      </c>
    </row>
    <row r="156" spans="1:6" x14ac:dyDescent="0.25">
      <c r="A156" s="2" t="s">
        <v>67</v>
      </c>
      <c r="B156" s="12" t="str">
        <f>VLOOKUP(A156,'Cleaned Data'!A:S,2,FALSE)</f>
        <v>AI Accelerator GPU</v>
      </c>
      <c r="C156" s="12">
        <f>VLOOKUP(A156,'Cleaned Data'!$A:$S,4,FALSE)</f>
        <v>2100</v>
      </c>
      <c r="D156" s="12">
        <f>VLOOKUP(A156,'Cleaned Data'!$A:$S,6,FALSE)</f>
        <v>898905</v>
      </c>
      <c r="E156" s="12" t="str">
        <f>VLOOKUP(A156,'Cleaned Data'!A:S,7,FALSE)</f>
        <v>BAR-005</v>
      </c>
      <c r="F156" s="12">
        <f>VLOOKUP(A156,'Cleaned Data'!$A:$S,9,FALSE)</f>
        <v>39</v>
      </c>
    </row>
    <row r="157" spans="1:6" x14ac:dyDescent="0.25">
      <c r="A157" s="7" t="s">
        <v>30</v>
      </c>
      <c r="B157" s="12" t="str">
        <f>VLOOKUP(A157,'Cleaned Data'!A:S,2,FALSE)</f>
        <v>OLED Display Driver IC</v>
      </c>
      <c r="C157" s="12">
        <f>VLOOKUP(A157,'Cleaned Data'!$A:$S,4,FALSE)</f>
        <v>2900</v>
      </c>
      <c r="D157" s="12">
        <f>VLOOKUP(A157,'Cleaned Data'!$A:$S,6,FALSE)</f>
        <v>295713</v>
      </c>
      <c r="E157" s="12" t="str">
        <f>VLOOKUP(A157,'Cleaned Data'!A:S,7,FALSE)</f>
        <v>BAR-008</v>
      </c>
      <c r="F157" s="12">
        <f>VLOOKUP(A157,'Cleaned Data'!$A:$S,9,FALSE)</f>
        <v>27</v>
      </c>
    </row>
    <row r="158" spans="1:6" x14ac:dyDescent="0.25">
      <c r="A158" s="2" t="s">
        <v>53</v>
      </c>
      <c r="B158" s="12" t="str">
        <f>VLOOKUP(A158,'Cleaned Data'!A:S,2,FALSE)</f>
        <v>Silicon Wafer 300mm</v>
      </c>
      <c r="C158" s="12">
        <f>VLOOKUP(A158,'Cleaned Data'!$A:$S,4,FALSE)</f>
        <v>4650</v>
      </c>
      <c r="D158" s="12">
        <f>VLOOKUP(A158,'Cleaned Data'!$A:$S,6,FALSE)</f>
        <v>389158.5</v>
      </c>
      <c r="E158" s="12" t="str">
        <f>VLOOKUP(A158,'Cleaned Data'!A:S,7,FALSE)</f>
        <v>BAR-001</v>
      </c>
      <c r="F158" s="12">
        <f>VLOOKUP(A158,'Cleaned Data'!$A:$S,9,FALSE)</f>
        <v>17</v>
      </c>
    </row>
    <row r="159" spans="1:6" x14ac:dyDescent="0.25">
      <c r="A159" s="7" t="s">
        <v>45</v>
      </c>
      <c r="B159" s="12" t="str">
        <f>VLOOKUP(A159,'Cleaned Data'!A:S,2,FALSE)</f>
        <v>IGBT Power Module</v>
      </c>
      <c r="C159" s="12">
        <f>VLOOKUP(A159,'Cleaned Data'!$A:$S,4,FALSE)</f>
        <v>3300</v>
      </c>
      <c r="D159" s="12">
        <f>VLOOKUP(A159,'Cleaned Data'!$A:$S,6,FALSE)</f>
        <v>445995</v>
      </c>
      <c r="E159" s="12" t="str">
        <f>VLOOKUP(A159,'Cleaned Data'!A:S,7,FALSE)</f>
        <v>BAR-007</v>
      </c>
      <c r="F159" s="12">
        <f>VLOOKUP(A159,'Cleaned Data'!$A:$S,9,FALSE)</f>
        <v>41</v>
      </c>
    </row>
    <row r="160" spans="1:6" x14ac:dyDescent="0.25">
      <c r="A160" s="2" t="s">
        <v>37</v>
      </c>
      <c r="B160" s="12" t="str">
        <f>VLOOKUP(A160,'Cleaned Data'!A:S,2,FALSE)</f>
        <v>Automotive MCU (16-bit)</v>
      </c>
      <c r="C160" s="12">
        <f>VLOOKUP(A160,'Cleaned Data'!$A:$S,4,FALSE)</f>
        <v>4400</v>
      </c>
      <c r="D160" s="12">
        <f>VLOOKUP(A160,'Cleaned Data'!$A:$S,6,FALSE)</f>
        <v>401060</v>
      </c>
      <c r="E160" s="12" t="str">
        <f>VLOOKUP(A160,'Cleaned Data'!A:S,7,FALSE)</f>
        <v>BAR-004</v>
      </c>
      <c r="F160" s="12">
        <f>VLOOKUP(A160,'Cleaned Data'!$A:$S,9,FALSE)</f>
        <v>33</v>
      </c>
    </row>
    <row r="161" spans="1:6" x14ac:dyDescent="0.25">
      <c r="A161" s="7" t="s">
        <v>23</v>
      </c>
      <c r="B161" s="12" t="str">
        <f>VLOOKUP(A161,'Cleaned Data'!A:S,2,FALSE)</f>
        <v>GaAs RF Power Amp</v>
      </c>
      <c r="C161" s="12">
        <f>VLOOKUP(A161,'Cleaned Data'!$A:$S,4,FALSE)</f>
        <v>2600</v>
      </c>
      <c r="D161" s="12">
        <f>VLOOKUP(A161,'Cleaned Data'!$A:$S,6,FALSE)</f>
        <v>806494</v>
      </c>
      <c r="E161" s="12" t="str">
        <f>VLOOKUP(A161,'Cleaned Data'!A:S,7,FALSE)</f>
        <v>BAR-002</v>
      </c>
      <c r="F161" s="12">
        <f>VLOOKUP(A161,'Cleaned Data'!$A:$S,9,FALSE)</f>
        <v>33</v>
      </c>
    </row>
    <row r="162" spans="1:6" x14ac:dyDescent="0.25">
      <c r="A162" s="2" t="s">
        <v>14</v>
      </c>
      <c r="B162" s="12" t="str">
        <f>VLOOKUP(A162,'Cleaned Data'!A:S,2,FALSE)</f>
        <v>CMOS Image Sensor (CIS)</v>
      </c>
      <c r="C162" s="12">
        <f>VLOOKUP(A162,'Cleaned Data'!$A:$S,4,FALSE)</f>
        <v>2200</v>
      </c>
      <c r="D162" s="12">
        <f>VLOOKUP(A162,'Cleaned Data'!$A:$S,6,FALSE)</f>
        <v>320584</v>
      </c>
      <c r="E162" s="12" t="str">
        <f>VLOOKUP(A162,'Cleaned Data'!A:S,7,FALSE)</f>
        <v>BAR-010</v>
      </c>
      <c r="F162" s="12">
        <f>VLOOKUP(A162,'Cleaned Data'!$A:$S,9,FALSE)</f>
        <v>13</v>
      </c>
    </row>
    <row r="163" spans="1:6" x14ac:dyDescent="0.25">
      <c r="A163" s="7" t="s">
        <v>30</v>
      </c>
      <c r="B163" s="12" t="str">
        <f>VLOOKUP(A163,'Cleaned Data'!A:S,2,FALSE)</f>
        <v>OLED Display Driver IC</v>
      </c>
      <c r="C163" s="12">
        <f>VLOOKUP(A163,'Cleaned Data'!$A:$S,4,FALSE)</f>
        <v>2900</v>
      </c>
      <c r="D163" s="12">
        <f>VLOOKUP(A163,'Cleaned Data'!$A:$S,6,FALSE)</f>
        <v>295713</v>
      </c>
      <c r="E163" s="12" t="str">
        <f>VLOOKUP(A163,'Cleaned Data'!A:S,7,FALSE)</f>
        <v>BAR-008</v>
      </c>
      <c r="F163" s="12">
        <f>VLOOKUP(A163,'Cleaned Data'!$A:$S,9,FALSE)</f>
        <v>27</v>
      </c>
    </row>
    <row r="164" spans="1:6" x14ac:dyDescent="0.25">
      <c r="A164" s="2" t="s">
        <v>14</v>
      </c>
      <c r="B164" s="12" t="str">
        <f>VLOOKUP(A164,'Cleaned Data'!A:S,2,FALSE)</f>
        <v>CMOS Image Sensor (CIS)</v>
      </c>
      <c r="C164" s="12">
        <f>VLOOKUP(A164,'Cleaned Data'!$A:$S,4,FALSE)</f>
        <v>2200</v>
      </c>
      <c r="D164" s="12">
        <f>VLOOKUP(A164,'Cleaned Data'!$A:$S,6,FALSE)</f>
        <v>320584</v>
      </c>
      <c r="E164" s="12" t="str">
        <f>VLOOKUP(A164,'Cleaned Data'!A:S,7,FALSE)</f>
        <v>BAR-010</v>
      </c>
      <c r="F164" s="12">
        <f>VLOOKUP(A164,'Cleaned Data'!$A:$S,9,FALSE)</f>
        <v>13</v>
      </c>
    </row>
    <row r="165" spans="1:6" x14ac:dyDescent="0.25">
      <c r="A165" s="7" t="s">
        <v>67</v>
      </c>
      <c r="B165" s="12" t="str">
        <f>VLOOKUP(A165,'Cleaned Data'!A:S,2,FALSE)</f>
        <v>AI Accelerator GPU</v>
      </c>
      <c r="C165" s="12">
        <f>VLOOKUP(A165,'Cleaned Data'!$A:$S,4,FALSE)</f>
        <v>2100</v>
      </c>
      <c r="D165" s="12">
        <f>VLOOKUP(A165,'Cleaned Data'!$A:$S,6,FALSE)</f>
        <v>898905</v>
      </c>
      <c r="E165" s="12" t="str">
        <f>VLOOKUP(A165,'Cleaned Data'!A:S,7,FALSE)</f>
        <v>BAR-005</v>
      </c>
      <c r="F165" s="12">
        <f>VLOOKUP(A165,'Cleaned Data'!$A:$S,9,FALSE)</f>
        <v>39</v>
      </c>
    </row>
    <row r="166" spans="1:6" x14ac:dyDescent="0.25">
      <c r="A166" s="2" t="s">
        <v>53</v>
      </c>
      <c r="B166" s="12" t="str">
        <f>VLOOKUP(A166,'Cleaned Data'!A:S,2,FALSE)</f>
        <v>Silicon Wafer 300mm</v>
      </c>
      <c r="C166" s="12">
        <f>VLOOKUP(A166,'Cleaned Data'!$A:$S,4,FALSE)</f>
        <v>4650</v>
      </c>
      <c r="D166" s="12">
        <f>VLOOKUP(A166,'Cleaned Data'!$A:$S,6,FALSE)</f>
        <v>389158.5</v>
      </c>
      <c r="E166" s="12" t="str">
        <f>VLOOKUP(A166,'Cleaned Data'!A:S,7,FALSE)</f>
        <v>BAR-001</v>
      </c>
      <c r="F166" s="12">
        <f>VLOOKUP(A166,'Cleaned Data'!$A:$S,9,FALSE)</f>
        <v>17</v>
      </c>
    </row>
    <row r="167" spans="1:6" x14ac:dyDescent="0.25">
      <c r="A167" s="7" t="s">
        <v>14</v>
      </c>
      <c r="B167" s="12" t="str">
        <f>VLOOKUP(A167,'Cleaned Data'!A:S,2,FALSE)</f>
        <v>CMOS Image Sensor (CIS)</v>
      </c>
      <c r="C167" s="12">
        <f>VLOOKUP(A167,'Cleaned Data'!$A:$S,4,FALSE)</f>
        <v>2200</v>
      </c>
      <c r="D167" s="12">
        <f>VLOOKUP(A167,'Cleaned Data'!$A:$S,6,FALSE)</f>
        <v>320584</v>
      </c>
      <c r="E167" s="12" t="str">
        <f>VLOOKUP(A167,'Cleaned Data'!A:S,7,FALSE)</f>
        <v>BAR-010</v>
      </c>
      <c r="F167" s="12">
        <f>VLOOKUP(A167,'Cleaned Data'!$A:$S,9,FALSE)</f>
        <v>13</v>
      </c>
    </row>
    <row r="168" spans="1:6" x14ac:dyDescent="0.25">
      <c r="A168" s="2" t="s">
        <v>67</v>
      </c>
      <c r="B168" s="12" t="str">
        <f>VLOOKUP(A168,'Cleaned Data'!A:S,2,FALSE)</f>
        <v>AI Accelerator GPU</v>
      </c>
      <c r="C168" s="12">
        <f>VLOOKUP(A168,'Cleaned Data'!$A:$S,4,FALSE)</f>
        <v>2100</v>
      </c>
      <c r="D168" s="12">
        <f>VLOOKUP(A168,'Cleaned Data'!$A:$S,6,FALSE)</f>
        <v>898905</v>
      </c>
      <c r="E168" s="12" t="str">
        <f>VLOOKUP(A168,'Cleaned Data'!A:S,7,FALSE)</f>
        <v>BAR-005</v>
      </c>
      <c r="F168" s="12">
        <f>VLOOKUP(A168,'Cleaned Data'!$A:$S,9,FALSE)</f>
        <v>39</v>
      </c>
    </row>
    <row r="169" spans="1:6" x14ac:dyDescent="0.25">
      <c r="A169" s="7" t="s">
        <v>53</v>
      </c>
      <c r="B169" s="12" t="str">
        <f>VLOOKUP(A169,'Cleaned Data'!A:S,2,FALSE)</f>
        <v>Silicon Wafer 300mm</v>
      </c>
      <c r="C169" s="12">
        <f>VLOOKUP(A169,'Cleaned Data'!$A:$S,4,FALSE)</f>
        <v>4650</v>
      </c>
      <c r="D169" s="12">
        <f>VLOOKUP(A169,'Cleaned Data'!$A:$S,6,FALSE)</f>
        <v>389158.5</v>
      </c>
      <c r="E169" s="12" t="str">
        <f>VLOOKUP(A169,'Cleaned Data'!A:S,7,FALSE)</f>
        <v>BAR-001</v>
      </c>
      <c r="F169" s="12">
        <f>VLOOKUP(A169,'Cleaned Data'!$A:$S,9,FALSE)</f>
        <v>17</v>
      </c>
    </row>
    <row r="170" spans="1:6" x14ac:dyDescent="0.25">
      <c r="A170" s="2" t="s">
        <v>14</v>
      </c>
      <c r="B170" s="12" t="str">
        <f>VLOOKUP(A170,'Cleaned Data'!A:S,2,FALSE)</f>
        <v>CMOS Image Sensor (CIS)</v>
      </c>
      <c r="C170" s="12">
        <f>VLOOKUP(A170,'Cleaned Data'!$A:$S,4,FALSE)</f>
        <v>2200</v>
      </c>
      <c r="D170" s="12">
        <f>VLOOKUP(A170,'Cleaned Data'!$A:$S,6,FALSE)</f>
        <v>320584</v>
      </c>
      <c r="E170" s="12" t="str">
        <f>VLOOKUP(A170,'Cleaned Data'!A:S,7,FALSE)</f>
        <v>BAR-010</v>
      </c>
      <c r="F170" s="12">
        <f>VLOOKUP(A170,'Cleaned Data'!$A:$S,9,FALSE)</f>
        <v>13</v>
      </c>
    </row>
    <row r="171" spans="1:6" x14ac:dyDescent="0.25">
      <c r="A171" s="7" t="s">
        <v>14</v>
      </c>
      <c r="B171" s="12" t="str">
        <f>VLOOKUP(A171,'Cleaned Data'!A:S,2,FALSE)</f>
        <v>CMOS Image Sensor (CIS)</v>
      </c>
      <c r="C171" s="12">
        <f>VLOOKUP(A171,'Cleaned Data'!$A:$S,4,FALSE)</f>
        <v>2200</v>
      </c>
      <c r="D171" s="12">
        <f>VLOOKUP(A171,'Cleaned Data'!$A:$S,6,FALSE)</f>
        <v>320584</v>
      </c>
      <c r="E171" s="12" t="str">
        <f>VLOOKUP(A171,'Cleaned Data'!A:S,7,FALSE)</f>
        <v>BAR-010</v>
      </c>
      <c r="F171" s="12">
        <f>VLOOKUP(A171,'Cleaned Data'!$A:$S,9,FALSE)</f>
        <v>13</v>
      </c>
    </row>
    <row r="172" spans="1:6" x14ac:dyDescent="0.25">
      <c r="A172" s="2" t="s">
        <v>59</v>
      </c>
      <c r="B172" s="12" t="str">
        <f>VLOOKUP(A172,'Cleaned Data'!A:S,2,FALSE)</f>
        <v>GaN Fast Charger IC</v>
      </c>
      <c r="C172" s="12">
        <f>VLOOKUP(A172,'Cleaned Data'!$A:$S,4,FALSE)</f>
        <v>3850</v>
      </c>
      <c r="D172" s="12">
        <f>VLOOKUP(A172,'Cleaned Data'!$A:$S,6,FALSE)</f>
        <v>1169553</v>
      </c>
      <c r="E172" s="12" t="str">
        <f>VLOOKUP(A172,'Cleaned Data'!A:S,7,FALSE)</f>
        <v>BAR-009</v>
      </c>
      <c r="F172" s="12">
        <f>VLOOKUP(A172,'Cleaned Data'!$A:$S,9,FALSE)</f>
        <v>19</v>
      </c>
    </row>
    <row r="173" spans="1:6" x14ac:dyDescent="0.25">
      <c r="A173" s="7" t="s">
        <v>45</v>
      </c>
      <c r="B173" s="12" t="str">
        <f>VLOOKUP(A173,'Cleaned Data'!A:S,2,FALSE)</f>
        <v>IGBT Power Module</v>
      </c>
      <c r="C173" s="12">
        <f>VLOOKUP(A173,'Cleaned Data'!$A:$S,4,FALSE)</f>
        <v>3300</v>
      </c>
      <c r="D173" s="12">
        <f>VLOOKUP(A173,'Cleaned Data'!$A:$S,6,FALSE)</f>
        <v>445995</v>
      </c>
      <c r="E173" s="12" t="str">
        <f>VLOOKUP(A173,'Cleaned Data'!A:S,7,FALSE)</f>
        <v>BAR-007</v>
      </c>
      <c r="F173" s="12">
        <f>VLOOKUP(A173,'Cleaned Data'!$A:$S,9,FALSE)</f>
        <v>41</v>
      </c>
    </row>
    <row r="174" spans="1:6" x14ac:dyDescent="0.25">
      <c r="A174" s="2" t="s">
        <v>53</v>
      </c>
      <c r="B174" s="12" t="str">
        <f>VLOOKUP(A174,'Cleaned Data'!A:S,2,FALSE)</f>
        <v>Silicon Wafer 300mm</v>
      </c>
      <c r="C174" s="12">
        <f>VLOOKUP(A174,'Cleaned Data'!$A:$S,4,FALSE)</f>
        <v>4650</v>
      </c>
      <c r="D174" s="12">
        <f>VLOOKUP(A174,'Cleaned Data'!$A:$S,6,FALSE)</f>
        <v>389158.5</v>
      </c>
      <c r="E174" s="12" t="str">
        <f>VLOOKUP(A174,'Cleaned Data'!A:S,7,FALSE)</f>
        <v>BAR-001</v>
      </c>
      <c r="F174" s="12">
        <f>VLOOKUP(A174,'Cleaned Data'!$A:$S,9,FALSE)</f>
        <v>17</v>
      </c>
    </row>
    <row r="175" spans="1:6" x14ac:dyDescent="0.25">
      <c r="A175" s="7" t="s">
        <v>89</v>
      </c>
      <c r="B175" s="12" t="str">
        <f>VLOOKUP(A175,'Cleaned Data'!A:S,2,FALSE)</f>
        <v>NAND Flash 3D 128-Layer</v>
      </c>
      <c r="C175" s="12">
        <f>VLOOKUP(A175,'Cleaned Data'!$A:$S,4,FALSE)</f>
        <v>4750</v>
      </c>
      <c r="D175" s="12">
        <f>VLOOKUP(A175,'Cleaned Data'!$A:$S,6,FALSE)</f>
        <v>537225</v>
      </c>
      <c r="E175" s="12" t="str">
        <f>VLOOKUP(A175,'Cleaned Data'!A:S,7,FALSE)</f>
        <v>BAR-003</v>
      </c>
      <c r="F175" s="12">
        <f>VLOOKUP(A175,'Cleaned Data'!$A:$S,9,FALSE)</f>
        <v>18</v>
      </c>
    </row>
    <row r="176" spans="1:6" x14ac:dyDescent="0.25">
      <c r="A176" s="2" t="s">
        <v>53</v>
      </c>
      <c r="B176" s="12" t="str">
        <f>VLOOKUP(A176,'Cleaned Data'!A:S,2,FALSE)</f>
        <v>Silicon Wafer 300mm</v>
      </c>
      <c r="C176" s="12">
        <f>VLOOKUP(A176,'Cleaned Data'!$A:$S,4,FALSE)</f>
        <v>4650</v>
      </c>
      <c r="D176" s="12">
        <f>VLOOKUP(A176,'Cleaned Data'!$A:$S,6,FALSE)</f>
        <v>389158.5</v>
      </c>
      <c r="E176" s="12" t="str">
        <f>VLOOKUP(A176,'Cleaned Data'!A:S,7,FALSE)</f>
        <v>BAR-001</v>
      </c>
      <c r="F176" s="12">
        <f>VLOOKUP(A176,'Cleaned Data'!$A:$S,9,FALSE)</f>
        <v>17</v>
      </c>
    </row>
    <row r="177" spans="1:6" x14ac:dyDescent="0.25">
      <c r="A177" s="7" t="s">
        <v>67</v>
      </c>
      <c r="B177" s="12" t="str">
        <f>VLOOKUP(A177,'Cleaned Data'!A:S,2,FALSE)</f>
        <v>AI Accelerator GPU</v>
      </c>
      <c r="C177" s="12">
        <f>VLOOKUP(A177,'Cleaned Data'!$A:$S,4,FALSE)</f>
        <v>2100</v>
      </c>
      <c r="D177" s="12">
        <f>VLOOKUP(A177,'Cleaned Data'!$A:$S,6,FALSE)</f>
        <v>898905</v>
      </c>
      <c r="E177" s="12" t="str">
        <f>VLOOKUP(A177,'Cleaned Data'!A:S,7,FALSE)</f>
        <v>BAR-005</v>
      </c>
      <c r="F177" s="12">
        <f>VLOOKUP(A177,'Cleaned Data'!$A:$S,9,FALSE)</f>
        <v>39</v>
      </c>
    </row>
    <row r="178" spans="1:6" x14ac:dyDescent="0.25">
      <c r="A178" s="2" t="s">
        <v>53</v>
      </c>
      <c r="B178" s="12" t="str">
        <f>VLOOKUP(A178,'Cleaned Data'!A:S,2,FALSE)</f>
        <v>Silicon Wafer 300mm</v>
      </c>
      <c r="C178" s="12">
        <f>VLOOKUP(A178,'Cleaned Data'!$A:$S,4,FALSE)</f>
        <v>4650</v>
      </c>
      <c r="D178" s="12">
        <f>VLOOKUP(A178,'Cleaned Data'!$A:$S,6,FALSE)</f>
        <v>389158.5</v>
      </c>
      <c r="E178" s="12" t="str">
        <f>VLOOKUP(A178,'Cleaned Data'!A:S,7,FALSE)</f>
        <v>BAR-001</v>
      </c>
      <c r="F178" s="12">
        <f>VLOOKUP(A178,'Cleaned Data'!$A:$S,9,FALSE)</f>
        <v>17</v>
      </c>
    </row>
    <row r="179" spans="1:6" x14ac:dyDescent="0.25">
      <c r="A179" s="7" t="s">
        <v>45</v>
      </c>
      <c r="B179" s="12" t="str">
        <f>VLOOKUP(A179,'Cleaned Data'!A:S,2,FALSE)</f>
        <v>IGBT Power Module</v>
      </c>
      <c r="C179" s="12">
        <f>VLOOKUP(A179,'Cleaned Data'!$A:$S,4,FALSE)</f>
        <v>3300</v>
      </c>
      <c r="D179" s="12">
        <f>VLOOKUP(A179,'Cleaned Data'!$A:$S,6,FALSE)</f>
        <v>445995</v>
      </c>
      <c r="E179" s="12" t="str">
        <f>VLOOKUP(A179,'Cleaned Data'!A:S,7,FALSE)</f>
        <v>BAR-007</v>
      </c>
      <c r="F179" s="12">
        <f>VLOOKUP(A179,'Cleaned Data'!$A:$S,9,FALSE)</f>
        <v>41</v>
      </c>
    </row>
    <row r="180" spans="1:6" x14ac:dyDescent="0.25">
      <c r="A180" s="2" t="s">
        <v>89</v>
      </c>
      <c r="B180" s="12" t="str">
        <f>VLOOKUP(A180,'Cleaned Data'!A:S,2,FALSE)</f>
        <v>NAND Flash 3D 128-Layer</v>
      </c>
      <c r="C180" s="12">
        <f>VLOOKUP(A180,'Cleaned Data'!$A:$S,4,FALSE)</f>
        <v>4750</v>
      </c>
      <c r="D180" s="12">
        <f>VLOOKUP(A180,'Cleaned Data'!$A:$S,6,FALSE)</f>
        <v>537225</v>
      </c>
      <c r="E180" s="12" t="str">
        <f>VLOOKUP(A180,'Cleaned Data'!A:S,7,FALSE)</f>
        <v>BAR-003</v>
      </c>
      <c r="F180" s="12">
        <f>VLOOKUP(A180,'Cleaned Data'!$A:$S,9,FALSE)</f>
        <v>18</v>
      </c>
    </row>
    <row r="181" spans="1:6" x14ac:dyDescent="0.25">
      <c r="A181" s="7" t="s">
        <v>59</v>
      </c>
      <c r="B181" s="12" t="str">
        <f>VLOOKUP(A181,'Cleaned Data'!A:S,2,FALSE)</f>
        <v>GaN Fast Charger IC</v>
      </c>
      <c r="C181" s="12">
        <f>VLOOKUP(A181,'Cleaned Data'!$A:$S,4,FALSE)</f>
        <v>3850</v>
      </c>
      <c r="D181" s="12">
        <f>VLOOKUP(A181,'Cleaned Data'!$A:$S,6,FALSE)</f>
        <v>1169553</v>
      </c>
      <c r="E181" s="12" t="str">
        <f>VLOOKUP(A181,'Cleaned Data'!A:S,7,FALSE)</f>
        <v>BAR-009</v>
      </c>
      <c r="F181" s="12">
        <f>VLOOKUP(A181,'Cleaned Data'!$A:$S,9,FALSE)</f>
        <v>19</v>
      </c>
    </row>
    <row r="182" spans="1:6" x14ac:dyDescent="0.25">
      <c r="A182" s="2" t="s">
        <v>14</v>
      </c>
      <c r="B182" s="12" t="str">
        <f>VLOOKUP(A182,'Cleaned Data'!A:S,2,FALSE)</f>
        <v>CMOS Image Sensor (CIS)</v>
      </c>
      <c r="C182" s="12">
        <f>VLOOKUP(A182,'Cleaned Data'!$A:$S,4,FALSE)</f>
        <v>2200</v>
      </c>
      <c r="D182" s="12">
        <f>VLOOKUP(A182,'Cleaned Data'!$A:$S,6,FALSE)</f>
        <v>320584</v>
      </c>
      <c r="E182" s="12" t="str">
        <f>VLOOKUP(A182,'Cleaned Data'!A:S,7,FALSE)</f>
        <v>BAR-010</v>
      </c>
      <c r="F182" s="12">
        <f>VLOOKUP(A182,'Cleaned Data'!$A:$S,9,FALSE)</f>
        <v>13</v>
      </c>
    </row>
    <row r="183" spans="1:6" x14ac:dyDescent="0.25">
      <c r="A183" s="7" t="s">
        <v>45</v>
      </c>
      <c r="B183" s="12" t="str">
        <f>VLOOKUP(A183,'Cleaned Data'!A:S,2,FALSE)</f>
        <v>IGBT Power Module</v>
      </c>
      <c r="C183" s="12">
        <f>VLOOKUP(A183,'Cleaned Data'!$A:$S,4,FALSE)</f>
        <v>3300</v>
      </c>
      <c r="D183" s="12">
        <f>VLOOKUP(A183,'Cleaned Data'!$A:$S,6,FALSE)</f>
        <v>445995</v>
      </c>
      <c r="E183" s="12" t="str">
        <f>VLOOKUP(A183,'Cleaned Data'!A:S,7,FALSE)</f>
        <v>BAR-007</v>
      </c>
      <c r="F183" s="12">
        <f>VLOOKUP(A183,'Cleaned Data'!$A:$S,9,FALSE)</f>
        <v>41</v>
      </c>
    </row>
    <row r="184" spans="1:6" x14ac:dyDescent="0.25">
      <c r="A184" s="2" t="s">
        <v>45</v>
      </c>
      <c r="B184" s="12" t="str">
        <f>VLOOKUP(A184,'Cleaned Data'!A:S,2,FALSE)</f>
        <v>IGBT Power Module</v>
      </c>
      <c r="C184" s="12">
        <f>VLOOKUP(A184,'Cleaned Data'!$A:$S,4,FALSE)</f>
        <v>3300</v>
      </c>
      <c r="D184" s="12">
        <f>VLOOKUP(A184,'Cleaned Data'!$A:$S,6,FALSE)</f>
        <v>445995</v>
      </c>
      <c r="E184" s="12" t="str">
        <f>VLOOKUP(A184,'Cleaned Data'!A:S,7,FALSE)</f>
        <v>BAR-007</v>
      </c>
      <c r="F184" s="12">
        <f>VLOOKUP(A184,'Cleaned Data'!$A:$S,9,FALSE)</f>
        <v>41</v>
      </c>
    </row>
    <row r="185" spans="1:6" x14ac:dyDescent="0.25">
      <c r="A185" s="7" t="s">
        <v>30</v>
      </c>
      <c r="B185" s="12" t="str">
        <f>VLOOKUP(A185,'Cleaned Data'!A:S,2,FALSE)</f>
        <v>OLED Display Driver IC</v>
      </c>
      <c r="C185" s="12">
        <f>VLOOKUP(A185,'Cleaned Data'!$A:$S,4,FALSE)</f>
        <v>2900</v>
      </c>
      <c r="D185" s="12">
        <f>VLOOKUP(A185,'Cleaned Data'!$A:$S,6,FALSE)</f>
        <v>295713</v>
      </c>
      <c r="E185" s="12" t="str">
        <f>VLOOKUP(A185,'Cleaned Data'!A:S,7,FALSE)</f>
        <v>BAR-008</v>
      </c>
      <c r="F185" s="12">
        <f>VLOOKUP(A185,'Cleaned Data'!$A:$S,9,FALSE)</f>
        <v>27</v>
      </c>
    </row>
    <row r="186" spans="1:6" x14ac:dyDescent="0.25">
      <c r="A186" s="2" t="s">
        <v>53</v>
      </c>
      <c r="B186" s="12" t="str">
        <f>VLOOKUP(A186,'Cleaned Data'!A:S,2,FALSE)</f>
        <v>Silicon Wafer 300mm</v>
      </c>
      <c r="C186" s="12">
        <f>VLOOKUP(A186,'Cleaned Data'!$A:$S,4,FALSE)</f>
        <v>4650</v>
      </c>
      <c r="D186" s="12">
        <f>VLOOKUP(A186,'Cleaned Data'!$A:$S,6,FALSE)</f>
        <v>389158.5</v>
      </c>
      <c r="E186" s="12" t="str">
        <f>VLOOKUP(A186,'Cleaned Data'!A:S,7,FALSE)</f>
        <v>BAR-001</v>
      </c>
      <c r="F186" s="12">
        <f>VLOOKUP(A186,'Cleaned Data'!$A:$S,9,FALSE)</f>
        <v>17</v>
      </c>
    </row>
    <row r="187" spans="1:6" x14ac:dyDescent="0.25">
      <c r="A187" s="7" t="s">
        <v>37</v>
      </c>
      <c r="B187" s="12" t="str">
        <f>VLOOKUP(A187,'Cleaned Data'!A:S,2,FALSE)</f>
        <v>Automotive MCU (16-bit)</v>
      </c>
      <c r="C187" s="12">
        <f>VLOOKUP(A187,'Cleaned Data'!$A:$S,4,FALSE)</f>
        <v>4400</v>
      </c>
      <c r="D187" s="12">
        <f>VLOOKUP(A187,'Cleaned Data'!$A:$S,6,FALSE)</f>
        <v>401060</v>
      </c>
      <c r="E187" s="12" t="str">
        <f>VLOOKUP(A187,'Cleaned Data'!A:S,7,FALSE)</f>
        <v>BAR-004</v>
      </c>
      <c r="F187" s="12">
        <f>VLOOKUP(A187,'Cleaned Data'!$A:$S,9,FALSE)</f>
        <v>33</v>
      </c>
    </row>
    <row r="188" spans="1:6" x14ac:dyDescent="0.25">
      <c r="A188" s="2" t="s">
        <v>59</v>
      </c>
      <c r="B188" s="12" t="str">
        <f>VLOOKUP(A188,'Cleaned Data'!A:S,2,FALSE)</f>
        <v>GaN Fast Charger IC</v>
      </c>
      <c r="C188" s="12">
        <f>VLOOKUP(A188,'Cleaned Data'!$A:$S,4,FALSE)</f>
        <v>3850</v>
      </c>
      <c r="D188" s="12">
        <f>VLOOKUP(A188,'Cleaned Data'!$A:$S,6,FALSE)</f>
        <v>1169553</v>
      </c>
      <c r="E188" s="12" t="str">
        <f>VLOOKUP(A188,'Cleaned Data'!A:S,7,FALSE)</f>
        <v>BAR-009</v>
      </c>
      <c r="F188" s="12">
        <f>VLOOKUP(A188,'Cleaned Data'!$A:$S,9,FALSE)</f>
        <v>19</v>
      </c>
    </row>
    <row r="189" spans="1:6" x14ac:dyDescent="0.25">
      <c r="A189" s="7" t="s">
        <v>106</v>
      </c>
      <c r="B189" s="12" t="str">
        <f>VLOOKUP(A189,'Cleaned Data'!A:S,2,FALSE)</f>
        <v>MEMS Pressure Sensor</v>
      </c>
      <c r="C189" s="12">
        <f>VLOOKUP(A189,'Cleaned Data'!$A:$S,4,FALSE)</f>
        <v>4050</v>
      </c>
      <c r="D189" s="12">
        <f>VLOOKUP(A189,'Cleaned Data'!$A:$S,6,FALSE)</f>
        <v>880632</v>
      </c>
      <c r="E189" s="12" t="str">
        <f>VLOOKUP(A189,'Cleaned Data'!A:S,7,FALSE)</f>
        <v>BAR-006</v>
      </c>
      <c r="F189" s="12">
        <f>VLOOKUP(A189,'Cleaned Data'!$A:$S,9,FALSE)</f>
        <v>34</v>
      </c>
    </row>
    <row r="190" spans="1:6" x14ac:dyDescent="0.25">
      <c r="A190" s="2" t="s">
        <v>14</v>
      </c>
      <c r="B190" s="12" t="str">
        <f>VLOOKUP(A190,'Cleaned Data'!A:S,2,FALSE)</f>
        <v>CMOS Image Sensor (CIS)</v>
      </c>
      <c r="C190" s="12">
        <f>VLOOKUP(A190,'Cleaned Data'!$A:$S,4,FALSE)</f>
        <v>2200</v>
      </c>
      <c r="D190" s="12">
        <f>VLOOKUP(A190,'Cleaned Data'!$A:$S,6,FALSE)</f>
        <v>320584</v>
      </c>
      <c r="E190" s="12" t="str">
        <f>VLOOKUP(A190,'Cleaned Data'!A:S,7,FALSE)</f>
        <v>BAR-010</v>
      </c>
      <c r="F190" s="12">
        <f>VLOOKUP(A190,'Cleaned Data'!$A:$S,9,FALSE)</f>
        <v>13</v>
      </c>
    </row>
    <row r="191" spans="1:6" x14ac:dyDescent="0.25">
      <c r="A191" s="7" t="s">
        <v>37</v>
      </c>
      <c r="B191" s="12" t="str">
        <f>VLOOKUP(A191,'Cleaned Data'!A:S,2,FALSE)</f>
        <v>Automotive MCU (16-bit)</v>
      </c>
      <c r="C191" s="12">
        <f>VLOOKUP(A191,'Cleaned Data'!$A:$S,4,FALSE)</f>
        <v>4400</v>
      </c>
      <c r="D191" s="12">
        <f>VLOOKUP(A191,'Cleaned Data'!$A:$S,6,FALSE)</f>
        <v>401060</v>
      </c>
      <c r="E191" s="12" t="str">
        <f>VLOOKUP(A191,'Cleaned Data'!A:S,7,FALSE)</f>
        <v>BAR-004</v>
      </c>
      <c r="F191" s="12">
        <f>VLOOKUP(A191,'Cleaned Data'!$A:$S,9,FALSE)</f>
        <v>33</v>
      </c>
    </row>
    <row r="192" spans="1:6" x14ac:dyDescent="0.25">
      <c r="A192" s="2" t="s">
        <v>67</v>
      </c>
      <c r="B192" s="12" t="str">
        <f>VLOOKUP(A192,'Cleaned Data'!A:S,2,FALSE)</f>
        <v>AI Accelerator GPU</v>
      </c>
      <c r="C192" s="12">
        <f>VLOOKUP(A192,'Cleaned Data'!$A:$S,4,FALSE)</f>
        <v>2100</v>
      </c>
      <c r="D192" s="12">
        <f>VLOOKUP(A192,'Cleaned Data'!$A:$S,6,FALSE)</f>
        <v>898905</v>
      </c>
      <c r="E192" s="12" t="str">
        <f>VLOOKUP(A192,'Cleaned Data'!A:S,7,FALSE)</f>
        <v>BAR-005</v>
      </c>
      <c r="F192" s="12">
        <f>VLOOKUP(A192,'Cleaned Data'!$A:$S,9,FALSE)</f>
        <v>39</v>
      </c>
    </row>
    <row r="193" spans="1:6" x14ac:dyDescent="0.25">
      <c r="A193" s="7" t="s">
        <v>89</v>
      </c>
      <c r="B193" s="12" t="str">
        <f>VLOOKUP(A193,'Cleaned Data'!A:S,2,FALSE)</f>
        <v>NAND Flash 3D 128-Layer</v>
      </c>
      <c r="C193" s="12">
        <f>VLOOKUP(A193,'Cleaned Data'!$A:$S,4,FALSE)</f>
        <v>4750</v>
      </c>
      <c r="D193" s="12">
        <f>VLOOKUP(A193,'Cleaned Data'!$A:$S,6,FALSE)</f>
        <v>537225</v>
      </c>
      <c r="E193" s="12" t="str">
        <f>VLOOKUP(A193,'Cleaned Data'!A:S,7,FALSE)</f>
        <v>BAR-003</v>
      </c>
      <c r="F193" s="12">
        <f>VLOOKUP(A193,'Cleaned Data'!$A:$S,9,FALSE)</f>
        <v>18</v>
      </c>
    </row>
    <row r="194" spans="1:6" x14ac:dyDescent="0.25">
      <c r="A194" s="2" t="s">
        <v>45</v>
      </c>
      <c r="B194" s="12" t="str">
        <f>VLOOKUP(A194,'Cleaned Data'!A:S,2,FALSE)</f>
        <v>IGBT Power Module</v>
      </c>
      <c r="C194" s="12">
        <f>VLOOKUP(A194,'Cleaned Data'!$A:$S,4,FALSE)</f>
        <v>3300</v>
      </c>
      <c r="D194" s="12">
        <f>VLOOKUP(A194,'Cleaned Data'!$A:$S,6,FALSE)</f>
        <v>445995</v>
      </c>
      <c r="E194" s="12" t="str">
        <f>VLOOKUP(A194,'Cleaned Data'!A:S,7,FALSE)</f>
        <v>BAR-007</v>
      </c>
      <c r="F194" s="12">
        <f>VLOOKUP(A194,'Cleaned Data'!$A:$S,9,FALSE)</f>
        <v>41</v>
      </c>
    </row>
    <row r="195" spans="1:6" x14ac:dyDescent="0.25">
      <c r="A195" s="7" t="s">
        <v>53</v>
      </c>
      <c r="B195" s="12" t="str">
        <f>VLOOKUP(A195,'Cleaned Data'!A:S,2,FALSE)</f>
        <v>Silicon Wafer 300mm</v>
      </c>
      <c r="C195" s="12">
        <f>VLOOKUP(A195,'Cleaned Data'!$A:$S,4,FALSE)</f>
        <v>4650</v>
      </c>
      <c r="D195" s="12">
        <f>VLOOKUP(A195,'Cleaned Data'!$A:$S,6,FALSE)</f>
        <v>389158.5</v>
      </c>
      <c r="E195" s="12" t="str">
        <f>VLOOKUP(A195,'Cleaned Data'!A:S,7,FALSE)</f>
        <v>BAR-001</v>
      </c>
      <c r="F195" s="12">
        <f>VLOOKUP(A195,'Cleaned Data'!$A:$S,9,FALSE)</f>
        <v>17</v>
      </c>
    </row>
    <row r="196" spans="1:6" x14ac:dyDescent="0.25">
      <c r="A196" s="2" t="s">
        <v>89</v>
      </c>
      <c r="B196" s="12" t="str">
        <f>VLOOKUP(A196,'Cleaned Data'!A:S,2,FALSE)</f>
        <v>NAND Flash 3D 128-Layer</v>
      </c>
      <c r="C196" s="12">
        <f>VLOOKUP(A196,'Cleaned Data'!$A:$S,4,FALSE)</f>
        <v>4750</v>
      </c>
      <c r="D196" s="12">
        <f>VLOOKUP(A196,'Cleaned Data'!$A:$S,6,FALSE)</f>
        <v>537225</v>
      </c>
      <c r="E196" s="12" t="str">
        <f>VLOOKUP(A196,'Cleaned Data'!A:S,7,FALSE)</f>
        <v>BAR-003</v>
      </c>
      <c r="F196" s="12">
        <f>VLOOKUP(A196,'Cleaned Data'!$A:$S,9,FALSE)</f>
        <v>18</v>
      </c>
    </row>
    <row r="197" spans="1:6" x14ac:dyDescent="0.25">
      <c r="A197" s="7" t="s">
        <v>53</v>
      </c>
      <c r="B197" s="12" t="str">
        <f>VLOOKUP(A197,'Cleaned Data'!A:S,2,FALSE)</f>
        <v>Silicon Wafer 300mm</v>
      </c>
      <c r="C197" s="12">
        <f>VLOOKUP(A197,'Cleaned Data'!$A:$S,4,FALSE)</f>
        <v>4650</v>
      </c>
      <c r="D197" s="12">
        <f>VLOOKUP(A197,'Cleaned Data'!$A:$S,6,FALSE)</f>
        <v>389158.5</v>
      </c>
      <c r="E197" s="12" t="str">
        <f>VLOOKUP(A197,'Cleaned Data'!A:S,7,FALSE)</f>
        <v>BAR-001</v>
      </c>
      <c r="F197" s="12">
        <f>VLOOKUP(A197,'Cleaned Data'!$A:$S,9,FALSE)</f>
        <v>17</v>
      </c>
    </row>
    <row r="198" spans="1:6" x14ac:dyDescent="0.25">
      <c r="A198" s="2" t="s">
        <v>45</v>
      </c>
      <c r="B198" s="12" t="str">
        <f>VLOOKUP(A198,'Cleaned Data'!A:S,2,FALSE)</f>
        <v>IGBT Power Module</v>
      </c>
      <c r="C198" s="12">
        <f>VLOOKUP(A198,'Cleaned Data'!$A:$S,4,FALSE)</f>
        <v>3300</v>
      </c>
      <c r="D198" s="12">
        <f>VLOOKUP(A198,'Cleaned Data'!$A:$S,6,FALSE)</f>
        <v>445995</v>
      </c>
      <c r="E198" s="12" t="str">
        <f>VLOOKUP(A198,'Cleaned Data'!A:S,7,FALSE)</f>
        <v>BAR-007</v>
      </c>
      <c r="F198" s="12">
        <f>VLOOKUP(A198,'Cleaned Data'!$A:$S,9,FALSE)</f>
        <v>41</v>
      </c>
    </row>
    <row r="199" spans="1:6" x14ac:dyDescent="0.25">
      <c r="A199" s="7" t="s">
        <v>67</v>
      </c>
      <c r="B199" s="12" t="str">
        <f>VLOOKUP(A199,'Cleaned Data'!A:S,2,FALSE)</f>
        <v>AI Accelerator GPU</v>
      </c>
      <c r="C199" s="12">
        <f>VLOOKUP(A199,'Cleaned Data'!$A:$S,4,FALSE)</f>
        <v>2100</v>
      </c>
      <c r="D199" s="12">
        <f>VLOOKUP(A199,'Cleaned Data'!$A:$S,6,FALSE)</f>
        <v>898905</v>
      </c>
      <c r="E199" s="12" t="str">
        <f>VLOOKUP(A199,'Cleaned Data'!A:S,7,FALSE)</f>
        <v>BAR-005</v>
      </c>
      <c r="F199" s="12">
        <f>VLOOKUP(A199,'Cleaned Data'!$A:$S,9,FALSE)</f>
        <v>39</v>
      </c>
    </row>
    <row r="200" spans="1:6" x14ac:dyDescent="0.25">
      <c r="A200" s="2" t="s">
        <v>53</v>
      </c>
      <c r="B200" s="12" t="str">
        <f>VLOOKUP(A200,'Cleaned Data'!A:S,2,FALSE)</f>
        <v>Silicon Wafer 300mm</v>
      </c>
      <c r="C200" s="12">
        <f>VLOOKUP(A200,'Cleaned Data'!$A:$S,4,FALSE)</f>
        <v>4650</v>
      </c>
      <c r="D200" s="12">
        <f>VLOOKUP(A200,'Cleaned Data'!$A:$S,6,FALSE)</f>
        <v>389158.5</v>
      </c>
      <c r="E200" s="12" t="str">
        <f>VLOOKUP(A200,'Cleaned Data'!A:S,7,FALSE)</f>
        <v>BAR-001</v>
      </c>
      <c r="F200" s="12">
        <f>VLOOKUP(A200,'Cleaned Data'!$A:$S,9,FALSE)</f>
        <v>17</v>
      </c>
    </row>
    <row r="201" spans="1:6" x14ac:dyDescent="0.25">
      <c r="A201" s="7" t="s">
        <v>89</v>
      </c>
      <c r="B201" s="12" t="str">
        <f>VLOOKUP(A201,'Cleaned Data'!A:S,2,FALSE)</f>
        <v>NAND Flash 3D 128-Layer</v>
      </c>
      <c r="C201" s="12">
        <f>VLOOKUP(A201,'Cleaned Data'!$A:$S,4,FALSE)</f>
        <v>4750</v>
      </c>
      <c r="D201" s="12">
        <f>VLOOKUP(A201,'Cleaned Data'!$A:$S,6,FALSE)</f>
        <v>537225</v>
      </c>
      <c r="E201" s="12" t="str">
        <f>VLOOKUP(A201,'Cleaned Data'!A:S,7,FALSE)</f>
        <v>BAR-003</v>
      </c>
      <c r="F201" s="12">
        <f>VLOOKUP(A201,'Cleaned Data'!$A:$S,9,FALSE)</f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6CAC-7F06-4C80-BAF8-BEC9362D568F}">
  <sheetPr codeName="Sheet4"/>
  <dimension ref="A1:E202"/>
  <sheetViews>
    <sheetView workbookViewId="0">
      <selection activeCell="G12" sqref="G12"/>
    </sheetView>
  </sheetViews>
  <sheetFormatPr defaultRowHeight="15" x14ac:dyDescent="0.25"/>
  <cols>
    <col min="2" max="2" width="23" bestFit="1" customWidth="1"/>
    <col min="3" max="3" width="11.42578125" bestFit="1" customWidth="1"/>
    <col min="4" max="4" width="18" bestFit="1" customWidth="1"/>
    <col min="5" max="5" width="13.85546875" bestFit="1" customWidth="1"/>
  </cols>
  <sheetData>
    <row r="1" spans="1:5" ht="33" x14ac:dyDescent="0.25">
      <c r="A1" s="1" t="s">
        <v>0</v>
      </c>
      <c r="B1" s="1" t="s">
        <v>1</v>
      </c>
      <c r="C1" s="1" t="s">
        <v>8</v>
      </c>
      <c r="D1" s="1" t="s">
        <v>372</v>
      </c>
      <c r="E1" s="1" t="s">
        <v>379</v>
      </c>
    </row>
    <row r="2" spans="1:5" x14ac:dyDescent="0.25">
      <c r="A2" s="2" t="s">
        <v>14</v>
      </c>
      <c r="B2" s="2" t="s">
        <v>15</v>
      </c>
      <c r="C2" s="3">
        <v>1916</v>
      </c>
      <c r="D2" s="4">
        <v>56.84</v>
      </c>
      <c r="E2" s="4">
        <f t="shared" ref="E2:E65" si="0">C2*D2</f>
        <v>108905.44</v>
      </c>
    </row>
    <row r="3" spans="1:5" x14ac:dyDescent="0.25">
      <c r="A3" s="7" t="s">
        <v>23</v>
      </c>
      <c r="B3" s="7" t="s">
        <v>24</v>
      </c>
      <c r="C3" s="8">
        <v>2056</v>
      </c>
      <c r="D3" s="9">
        <v>556.04999999999995</v>
      </c>
      <c r="E3" s="9">
        <f t="shared" si="0"/>
        <v>1143238.7999999998</v>
      </c>
    </row>
    <row r="4" spans="1:5" x14ac:dyDescent="0.25">
      <c r="A4" s="2" t="s">
        <v>30</v>
      </c>
      <c r="B4" s="2" t="s">
        <v>31</v>
      </c>
      <c r="C4" s="3">
        <v>3564</v>
      </c>
      <c r="D4" s="4">
        <v>21.26</v>
      </c>
      <c r="E4" s="4">
        <f t="shared" si="0"/>
        <v>75770.64</v>
      </c>
    </row>
    <row r="5" spans="1:5" x14ac:dyDescent="0.25">
      <c r="A5" s="7" t="s">
        <v>37</v>
      </c>
      <c r="B5" s="7" t="s">
        <v>38</v>
      </c>
      <c r="C5" s="8">
        <v>1356</v>
      </c>
      <c r="D5" s="9">
        <v>36.36</v>
      </c>
      <c r="E5" s="9">
        <f t="shared" si="0"/>
        <v>49304.159999999996</v>
      </c>
    </row>
    <row r="6" spans="1:5" x14ac:dyDescent="0.25">
      <c r="A6" s="2" t="s">
        <v>45</v>
      </c>
      <c r="B6" s="2" t="s">
        <v>46</v>
      </c>
      <c r="C6" s="3">
        <v>1584</v>
      </c>
      <c r="D6" s="4">
        <v>182.75</v>
      </c>
      <c r="E6" s="4">
        <f t="shared" si="0"/>
        <v>289476</v>
      </c>
    </row>
    <row r="7" spans="1:5" x14ac:dyDescent="0.25">
      <c r="A7" s="7" t="s">
        <v>53</v>
      </c>
      <c r="B7" s="7" t="s">
        <v>54</v>
      </c>
      <c r="C7" s="8">
        <v>3873</v>
      </c>
      <c r="D7" s="9">
        <v>153.51</v>
      </c>
      <c r="E7" s="9">
        <f t="shared" si="0"/>
        <v>594544.23</v>
      </c>
    </row>
    <row r="8" spans="1:5" x14ac:dyDescent="0.25">
      <c r="A8" s="2" t="s">
        <v>59</v>
      </c>
      <c r="B8" s="2" t="s">
        <v>60</v>
      </c>
      <c r="C8" s="3">
        <v>653</v>
      </c>
      <c r="D8" s="4">
        <v>62.71</v>
      </c>
      <c r="E8" s="4">
        <f t="shared" si="0"/>
        <v>40949.629999999997</v>
      </c>
    </row>
    <row r="9" spans="1:5" x14ac:dyDescent="0.25">
      <c r="A9" s="7" t="s">
        <v>37</v>
      </c>
      <c r="B9" s="7" t="s">
        <v>38</v>
      </c>
      <c r="C9" s="8">
        <v>1774</v>
      </c>
      <c r="D9" s="9">
        <v>34.79</v>
      </c>
      <c r="E9" s="9">
        <f t="shared" si="0"/>
        <v>61717.46</v>
      </c>
    </row>
    <row r="10" spans="1:5" x14ac:dyDescent="0.25">
      <c r="A10" s="2" t="s">
        <v>67</v>
      </c>
      <c r="B10" s="2" t="s">
        <v>68</v>
      </c>
      <c r="C10" s="3">
        <v>2856</v>
      </c>
      <c r="D10" s="4">
        <v>2447.6999999999998</v>
      </c>
      <c r="E10" s="4">
        <f t="shared" si="0"/>
        <v>6990631.1999999993</v>
      </c>
    </row>
    <row r="11" spans="1:5" x14ac:dyDescent="0.25">
      <c r="A11" s="7" t="s">
        <v>59</v>
      </c>
      <c r="B11" s="7" t="s">
        <v>60</v>
      </c>
      <c r="C11" s="8">
        <v>3383</v>
      </c>
      <c r="D11" s="9">
        <v>65.72</v>
      </c>
      <c r="E11" s="9">
        <f t="shared" si="0"/>
        <v>222330.76</v>
      </c>
    </row>
    <row r="12" spans="1:5" x14ac:dyDescent="0.25">
      <c r="A12" s="2" t="s">
        <v>23</v>
      </c>
      <c r="B12" s="2" t="s">
        <v>24</v>
      </c>
      <c r="C12" s="3">
        <v>3084</v>
      </c>
      <c r="D12" s="4">
        <v>550.58000000000004</v>
      </c>
      <c r="E12" s="4">
        <f t="shared" si="0"/>
        <v>1697988.7200000002</v>
      </c>
    </row>
    <row r="13" spans="1:5" x14ac:dyDescent="0.25">
      <c r="A13" s="7" t="s">
        <v>59</v>
      </c>
      <c r="B13" s="7" t="s">
        <v>60</v>
      </c>
      <c r="C13" s="8">
        <v>3826</v>
      </c>
      <c r="D13" s="9">
        <v>67.47</v>
      </c>
      <c r="E13" s="9">
        <f t="shared" si="0"/>
        <v>258140.22</v>
      </c>
    </row>
    <row r="14" spans="1:5" x14ac:dyDescent="0.25">
      <c r="A14" s="2" t="s">
        <v>30</v>
      </c>
      <c r="B14" s="2" t="s">
        <v>31</v>
      </c>
      <c r="C14" s="3">
        <v>3910</v>
      </c>
      <c r="D14" s="4">
        <v>22.84</v>
      </c>
      <c r="E14" s="4">
        <f t="shared" si="0"/>
        <v>89304.4</v>
      </c>
    </row>
    <row r="15" spans="1:5" x14ac:dyDescent="0.25">
      <c r="A15" s="7" t="s">
        <v>30</v>
      </c>
      <c r="B15" s="7" t="s">
        <v>31</v>
      </c>
      <c r="C15" s="8">
        <v>1092</v>
      </c>
      <c r="D15" s="9">
        <v>22.34</v>
      </c>
      <c r="E15" s="9">
        <f t="shared" si="0"/>
        <v>24395.279999999999</v>
      </c>
    </row>
    <row r="16" spans="1:5" x14ac:dyDescent="0.25">
      <c r="A16" s="2" t="s">
        <v>23</v>
      </c>
      <c r="B16" s="2" t="s">
        <v>24</v>
      </c>
      <c r="C16" s="3">
        <v>4455</v>
      </c>
      <c r="D16" s="4">
        <v>532.23</v>
      </c>
      <c r="E16" s="4">
        <f t="shared" si="0"/>
        <v>2371084.65</v>
      </c>
    </row>
    <row r="17" spans="1:5" x14ac:dyDescent="0.25">
      <c r="A17" s="7" t="s">
        <v>89</v>
      </c>
      <c r="B17" s="7" t="s">
        <v>90</v>
      </c>
      <c r="C17" s="8">
        <v>4331</v>
      </c>
      <c r="D17" s="9">
        <v>46.59</v>
      </c>
      <c r="E17" s="9">
        <f t="shared" si="0"/>
        <v>201781.29</v>
      </c>
    </row>
    <row r="18" spans="1:5" x14ac:dyDescent="0.25">
      <c r="A18" s="2" t="s">
        <v>59</v>
      </c>
      <c r="B18" s="2" t="s">
        <v>60</v>
      </c>
      <c r="C18" s="3">
        <v>435</v>
      </c>
      <c r="D18" s="4">
        <v>64.73</v>
      </c>
      <c r="E18" s="4">
        <f t="shared" si="0"/>
        <v>28157.550000000003</v>
      </c>
    </row>
    <row r="19" spans="1:5" x14ac:dyDescent="0.25">
      <c r="A19" s="7" t="s">
        <v>67</v>
      </c>
      <c r="B19" s="7" t="s">
        <v>68</v>
      </c>
      <c r="C19" s="8">
        <v>888</v>
      </c>
      <c r="D19" s="9">
        <v>2459.4499999999998</v>
      </c>
      <c r="E19" s="9">
        <f t="shared" si="0"/>
        <v>2183991.5999999996</v>
      </c>
    </row>
    <row r="20" spans="1:5" x14ac:dyDescent="0.25">
      <c r="A20" s="2" t="s">
        <v>45</v>
      </c>
      <c r="B20" s="2" t="s">
        <v>46</v>
      </c>
      <c r="C20" s="3">
        <v>2078</v>
      </c>
      <c r="D20" s="4">
        <v>179.56</v>
      </c>
      <c r="E20" s="4">
        <f t="shared" si="0"/>
        <v>373125.68</v>
      </c>
    </row>
    <row r="21" spans="1:5" x14ac:dyDescent="0.25">
      <c r="A21" s="7" t="s">
        <v>30</v>
      </c>
      <c r="B21" s="7" t="s">
        <v>31</v>
      </c>
      <c r="C21" s="8">
        <v>415</v>
      </c>
      <c r="D21" s="9">
        <v>21.51</v>
      </c>
      <c r="E21" s="9">
        <f t="shared" si="0"/>
        <v>8926.6500000000015</v>
      </c>
    </row>
    <row r="22" spans="1:5" x14ac:dyDescent="0.25">
      <c r="A22" s="2" t="s">
        <v>89</v>
      </c>
      <c r="B22" s="2" t="s">
        <v>90</v>
      </c>
      <c r="C22" s="3">
        <v>554</v>
      </c>
      <c r="D22" s="4">
        <v>44.83</v>
      </c>
      <c r="E22" s="4">
        <f t="shared" si="0"/>
        <v>24835.82</v>
      </c>
    </row>
    <row r="23" spans="1:5" x14ac:dyDescent="0.25">
      <c r="A23" s="7" t="s">
        <v>106</v>
      </c>
      <c r="B23" s="7" t="s">
        <v>107</v>
      </c>
      <c r="C23" s="8">
        <v>121</v>
      </c>
      <c r="D23" s="9">
        <v>8.42</v>
      </c>
      <c r="E23" s="9">
        <f t="shared" si="0"/>
        <v>1018.8199999999999</v>
      </c>
    </row>
    <row r="24" spans="1:5" x14ac:dyDescent="0.25">
      <c r="A24" s="2" t="s">
        <v>45</v>
      </c>
      <c r="B24" s="2" t="s">
        <v>46</v>
      </c>
      <c r="C24" s="3">
        <v>1445</v>
      </c>
      <c r="D24" s="4">
        <v>180.24</v>
      </c>
      <c r="E24" s="4">
        <f t="shared" si="0"/>
        <v>260446.80000000002</v>
      </c>
    </row>
    <row r="25" spans="1:5" x14ac:dyDescent="0.25">
      <c r="A25" s="7" t="s">
        <v>53</v>
      </c>
      <c r="B25" s="7" t="s">
        <v>54</v>
      </c>
      <c r="C25" s="8">
        <v>2466</v>
      </c>
      <c r="D25" s="9">
        <v>145.63999999999999</v>
      </c>
      <c r="E25" s="9">
        <f t="shared" si="0"/>
        <v>359148.24</v>
      </c>
    </row>
    <row r="26" spans="1:5" x14ac:dyDescent="0.25">
      <c r="A26" s="2" t="s">
        <v>23</v>
      </c>
      <c r="B26" s="2" t="s">
        <v>24</v>
      </c>
      <c r="C26" s="3">
        <v>2932</v>
      </c>
      <c r="D26" s="4">
        <v>564.53</v>
      </c>
      <c r="E26" s="4">
        <f t="shared" si="0"/>
        <v>1655201.96</v>
      </c>
    </row>
    <row r="27" spans="1:5" x14ac:dyDescent="0.25">
      <c r="A27" s="7" t="s">
        <v>59</v>
      </c>
      <c r="B27" s="7" t="s">
        <v>60</v>
      </c>
      <c r="C27" s="8">
        <v>546</v>
      </c>
      <c r="D27" s="9">
        <v>64.349999999999994</v>
      </c>
      <c r="E27" s="9">
        <f t="shared" si="0"/>
        <v>35135.1</v>
      </c>
    </row>
    <row r="28" spans="1:5" x14ac:dyDescent="0.25">
      <c r="A28" s="2" t="s">
        <v>89</v>
      </c>
      <c r="B28" s="2" t="s">
        <v>90</v>
      </c>
      <c r="C28" s="3">
        <v>815</v>
      </c>
      <c r="D28" s="4">
        <v>43.89</v>
      </c>
      <c r="E28" s="4">
        <f t="shared" si="0"/>
        <v>35770.35</v>
      </c>
    </row>
    <row r="29" spans="1:5" x14ac:dyDescent="0.25">
      <c r="A29" s="7" t="s">
        <v>23</v>
      </c>
      <c r="B29" s="7" t="s">
        <v>24</v>
      </c>
      <c r="C29" s="8">
        <v>3578</v>
      </c>
      <c r="D29" s="9">
        <v>549.16</v>
      </c>
      <c r="E29" s="9">
        <f t="shared" si="0"/>
        <v>1964894.48</v>
      </c>
    </row>
    <row r="30" spans="1:5" x14ac:dyDescent="0.25">
      <c r="A30" s="2" t="s">
        <v>14</v>
      </c>
      <c r="B30" s="2" t="s">
        <v>15</v>
      </c>
      <c r="C30" s="3">
        <v>1405</v>
      </c>
      <c r="D30" s="4">
        <v>57.17</v>
      </c>
      <c r="E30" s="4">
        <f t="shared" si="0"/>
        <v>80323.850000000006</v>
      </c>
    </row>
    <row r="31" spans="1:5" x14ac:dyDescent="0.25">
      <c r="A31" s="7" t="s">
        <v>14</v>
      </c>
      <c r="B31" s="7" t="s">
        <v>15</v>
      </c>
      <c r="C31" s="8">
        <v>2441</v>
      </c>
      <c r="D31" s="9">
        <v>55.07</v>
      </c>
      <c r="E31" s="9">
        <f t="shared" si="0"/>
        <v>134425.87</v>
      </c>
    </row>
    <row r="32" spans="1:5" x14ac:dyDescent="0.25">
      <c r="A32" s="2" t="s">
        <v>53</v>
      </c>
      <c r="B32" s="2" t="s">
        <v>54</v>
      </c>
      <c r="C32" s="3">
        <v>4832</v>
      </c>
      <c r="D32" s="4">
        <v>146.52000000000001</v>
      </c>
      <c r="E32" s="4">
        <f t="shared" si="0"/>
        <v>707984.64</v>
      </c>
    </row>
    <row r="33" spans="1:5" x14ac:dyDescent="0.25">
      <c r="A33" s="7" t="s">
        <v>53</v>
      </c>
      <c r="B33" s="7" t="s">
        <v>54</v>
      </c>
      <c r="C33" s="8">
        <v>3001</v>
      </c>
      <c r="D33" s="9">
        <v>151.38</v>
      </c>
      <c r="E33" s="9">
        <f t="shared" si="0"/>
        <v>454291.38</v>
      </c>
    </row>
    <row r="34" spans="1:5" x14ac:dyDescent="0.25">
      <c r="A34" s="2" t="s">
        <v>53</v>
      </c>
      <c r="B34" s="2" t="s">
        <v>54</v>
      </c>
      <c r="C34" s="3">
        <v>4428</v>
      </c>
      <c r="D34" s="4">
        <v>149.81</v>
      </c>
      <c r="E34" s="4">
        <f t="shared" si="0"/>
        <v>663358.68000000005</v>
      </c>
    </row>
    <row r="35" spans="1:5" x14ac:dyDescent="0.25">
      <c r="A35" s="7" t="s">
        <v>30</v>
      </c>
      <c r="B35" s="7" t="s">
        <v>31</v>
      </c>
      <c r="C35" s="8">
        <v>3691</v>
      </c>
      <c r="D35" s="9">
        <v>21.74</v>
      </c>
      <c r="E35" s="9">
        <f t="shared" si="0"/>
        <v>80242.34</v>
      </c>
    </row>
    <row r="36" spans="1:5" x14ac:dyDescent="0.25">
      <c r="A36" s="2" t="s">
        <v>23</v>
      </c>
      <c r="B36" s="2" t="s">
        <v>24</v>
      </c>
      <c r="C36" s="3">
        <v>3193</v>
      </c>
      <c r="D36" s="4">
        <v>541.19000000000005</v>
      </c>
      <c r="E36" s="4">
        <f t="shared" si="0"/>
        <v>1728019.6700000002</v>
      </c>
    </row>
    <row r="37" spans="1:5" x14ac:dyDescent="0.25">
      <c r="A37" s="7" t="s">
        <v>37</v>
      </c>
      <c r="B37" s="7" t="s">
        <v>38</v>
      </c>
      <c r="C37" s="8">
        <v>328</v>
      </c>
      <c r="D37" s="9">
        <v>36.22</v>
      </c>
      <c r="E37" s="9">
        <f t="shared" si="0"/>
        <v>11880.16</v>
      </c>
    </row>
    <row r="38" spans="1:5" x14ac:dyDescent="0.25">
      <c r="A38" s="2" t="s">
        <v>106</v>
      </c>
      <c r="B38" s="2" t="s">
        <v>107</v>
      </c>
      <c r="C38" s="3">
        <v>3658</v>
      </c>
      <c r="D38" s="4">
        <v>8.84</v>
      </c>
      <c r="E38" s="4">
        <f t="shared" si="0"/>
        <v>32336.720000000001</v>
      </c>
    </row>
    <row r="39" spans="1:5" x14ac:dyDescent="0.25">
      <c r="A39" s="7" t="s">
        <v>37</v>
      </c>
      <c r="B39" s="7" t="s">
        <v>38</v>
      </c>
      <c r="C39" s="8">
        <v>1346</v>
      </c>
      <c r="D39" s="9">
        <v>34.57</v>
      </c>
      <c r="E39" s="9">
        <f t="shared" si="0"/>
        <v>46531.22</v>
      </c>
    </row>
    <row r="40" spans="1:5" x14ac:dyDescent="0.25">
      <c r="A40" s="2" t="s">
        <v>67</v>
      </c>
      <c r="B40" s="2" t="s">
        <v>68</v>
      </c>
      <c r="C40" s="3">
        <v>3235</v>
      </c>
      <c r="D40" s="4">
        <v>2477.46</v>
      </c>
      <c r="E40" s="4">
        <f t="shared" si="0"/>
        <v>8014583.1000000006</v>
      </c>
    </row>
    <row r="41" spans="1:5" x14ac:dyDescent="0.25">
      <c r="A41" s="7" t="s">
        <v>23</v>
      </c>
      <c r="B41" s="7" t="s">
        <v>24</v>
      </c>
      <c r="C41" s="8">
        <v>1945</v>
      </c>
      <c r="D41" s="9">
        <v>549.5</v>
      </c>
      <c r="E41" s="9">
        <f t="shared" si="0"/>
        <v>1068777.5</v>
      </c>
    </row>
    <row r="42" spans="1:5" x14ac:dyDescent="0.25">
      <c r="A42" s="2" t="s">
        <v>59</v>
      </c>
      <c r="B42" s="2" t="s">
        <v>60</v>
      </c>
      <c r="C42" s="3">
        <v>2425</v>
      </c>
      <c r="D42" s="4">
        <v>64.150000000000006</v>
      </c>
      <c r="E42" s="4">
        <f t="shared" si="0"/>
        <v>155563.75</v>
      </c>
    </row>
    <row r="43" spans="1:5" x14ac:dyDescent="0.25">
      <c r="A43" s="7" t="s">
        <v>14</v>
      </c>
      <c r="B43" s="7" t="s">
        <v>15</v>
      </c>
      <c r="C43" s="8">
        <v>3554</v>
      </c>
      <c r="D43" s="9">
        <v>55.71</v>
      </c>
      <c r="E43" s="9">
        <f t="shared" si="0"/>
        <v>197993.34</v>
      </c>
    </row>
    <row r="44" spans="1:5" x14ac:dyDescent="0.25">
      <c r="A44" s="2" t="s">
        <v>30</v>
      </c>
      <c r="B44" s="2" t="s">
        <v>31</v>
      </c>
      <c r="C44" s="3">
        <v>2809</v>
      </c>
      <c r="D44" s="4">
        <v>22.53</v>
      </c>
      <c r="E44" s="4">
        <f t="shared" si="0"/>
        <v>63286.770000000004</v>
      </c>
    </row>
    <row r="45" spans="1:5" x14ac:dyDescent="0.25">
      <c r="A45" s="7" t="s">
        <v>45</v>
      </c>
      <c r="B45" s="7" t="s">
        <v>46</v>
      </c>
      <c r="C45" s="8">
        <v>4722</v>
      </c>
      <c r="D45" s="9">
        <v>180.72</v>
      </c>
      <c r="E45" s="9">
        <f t="shared" si="0"/>
        <v>853359.84</v>
      </c>
    </row>
    <row r="46" spans="1:5" x14ac:dyDescent="0.25">
      <c r="A46" s="2" t="s">
        <v>89</v>
      </c>
      <c r="B46" s="2" t="s">
        <v>90</v>
      </c>
      <c r="C46" s="3">
        <v>2045</v>
      </c>
      <c r="D46" s="4">
        <v>44.94</v>
      </c>
      <c r="E46" s="4">
        <f t="shared" si="0"/>
        <v>91902.299999999988</v>
      </c>
    </row>
    <row r="47" spans="1:5" x14ac:dyDescent="0.25">
      <c r="A47" s="7" t="s">
        <v>30</v>
      </c>
      <c r="B47" s="7" t="s">
        <v>31</v>
      </c>
      <c r="C47" s="8">
        <v>517</v>
      </c>
      <c r="D47" s="9">
        <v>22.19</v>
      </c>
      <c r="E47" s="9">
        <f t="shared" si="0"/>
        <v>11472.230000000001</v>
      </c>
    </row>
    <row r="48" spans="1:5" x14ac:dyDescent="0.25">
      <c r="A48" s="2" t="s">
        <v>14</v>
      </c>
      <c r="B48" s="2" t="s">
        <v>15</v>
      </c>
      <c r="C48" s="3">
        <v>3344</v>
      </c>
      <c r="D48" s="4">
        <v>56.8</v>
      </c>
      <c r="E48" s="4">
        <f t="shared" si="0"/>
        <v>189939.19999999998</v>
      </c>
    </row>
    <row r="49" spans="1:5" x14ac:dyDescent="0.25">
      <c r="A49" s="7" t="s">
        <v>89</v>
      </c>
      <c r="B49" s="7" t="s">
        <v>90</v>
      </c>
      <c r="C49" s="8">
        <v>4104</v>
      </c>
      <c r="D49" s="9">
        <v>44.39</v>
      </c>
      <c r="E49" s="9">
        <f t="shared" si="0"/>
        <v>182176.56</v>
      </c>
    </row>
    <row r="50" spans="1:5" x14ac:dyDescent="0.25">
      <c r="A50" s="2" t="s">
        <v>14</v>
      </c>
      <c r="B50" s="2" t="s">
        <v>15</v>
      </c>
      <c r="C50" s="3">
        <v>2157</v>
      </c>
      <c r="D50" s="4">
        <v>55.71</v>
      </c>
      <c r="E50" s="4">
        <f t="shared" si="0"/>
        <v>120166.47</v>
      </c>
    </row>
    <row r="51" spans="1:5" x14ac:dyDescent="0.25">
      <c r="A51" s="7" t="s">
        <v>89</v>
      </c>
      <c r="B51" s="7" t="s">
        <v>90</v>
      </c>
      <c r="C51" s="8">
        <v>2174</v>
      </c>
      <c r="D51" s="9">
        <v>44.72</v>
      </c>
      <c r="E51" s="9">
        <f t="shared" si="0"/>
        <v>97221.28</v>
      </c>
    </row>
    <row r="52" spans="1:5" x14ac:dyDescent="0.25">
      <c r="A52" s="2" t="s">
        <v>53</v>
      </c>
      <c r="B52" s="2" t="s">
        <v>54</v>
      </c>
      <c r="C52" s="3">
        <v>4928</v>
      </c>
      <c r="D52" s="4">
        <v>150.02000000000001</v>
      </c>
      <c r="E52" s="4">
        <f t="shared" si="0"/>
        <v>739298.56</v>
      </c>
    </row>
    <row r="53" spans="1:5" x14ac:dyDescent="0.25">
      <c r="A53" s="7" t="s">
        <v>59</v>
      </c>
      <c r="B53" s="7" t="s">
        <v>60</v>
      </c>
      <c r="C53" s="8">
        <v>1562</v>
      </c>
      <c r="D53" s="9">
        <v>64.8</v>
      </c>
      <c r="E53" s="9">
        <f t="shared" si="0"/>
        <v>101217.59999999999</v>
      </c>
    </row>
    <row r="54" spans="1:5" x14ac:dyDescent="0.25">
      <c r="A54" s="2" t="s">
        <v>67</v>
      </c>
      <c r="B54" s="2" t="s">
        <v>68</v>
      </c>
      <c r="C54" s="3">
        <v>132</v>
      </c>
      <c r="D54" s="4">
        <v>2436.3200000000002</v>
      </c>
      <c r="E54" s="4">
        <f t="shared" si="0"/>
        <v>321594.24000000005</v>
      </c>
    </row>
    <row r="55" spans="1:5" x14ac:dyDescent="0.25">
      <c r="A55" s="7" t="s">
        <v>67</v>
      </c>
      <c r="B55" s="7" t="s">
        <v>68</v>
      </c>
      <c r="C55" s="8">
        <v>3473</v>
      </c>
      <c r="D55" s="9">
        <v>2429.69</v>
      </c>
      <c r="E55" s="9">
        <f t="shared" si="0"/>
        <v>8438313.370000001</v>
      </c>
    </row>
    <row r="56" spans="1:5" x14ac:dyDescent="0.25">
      <c r="A56" s="2" t="s">
        <v>14</v>
      </c>
      <c r="B56" s="2" t="s">
        <v>15</v>
      </c>
      <c r="C56" s="3">
        <v>3102</v>
      </c>
      <c r="D56" s="4">
        <v>56.61</v>
      </c>
      <c r="E56" s="4">
        <f t="shared" si="0"/>
        <v>175604.22</v>
      </c>
    </row>
    <row r="57" spans="1:5" x14ac:dyDescent="0.25">
      <c r="A57" s="7" t="s">
        <v>45</v>
      </c>
      <c r="B57" s="7" t="s">
        <v>46</v>
      </c>
      <c r="C57" s="8">
        <v>1183</v>
      </c>
      <c r="D57" s="9">
        <v>183.02</v>
      </c>
      <c r="E57" s="9">
        <f t="shared" si="0"/>
        <v>216512.66</v>
      </c>
    </row>
    <row r="58" spans="1:5" x14ac:dyDescent="0.25">
      <c r="A58" s="2" t="s">
        <v>14</v>
      </c>
      <c r="B58" s="2" t="s">
        <v>15</v>
      </c>
      <c r="C58" s="3">
        <v>4355</v>
      </c>
      <c r="D58" s="4">
        <v>56.52</v>
      </c>
      <c r="E58" s="4">
        <f t="shared" si="0"/>
        <v>246144.6</v>
      </c>
    </row>
    <row r="59" spans="1:5" x14ac:dyDescent="0.25">
      <c r="A59" s="7" t="s">
        <v>106</v>
      </c>
      <c r="B59" s="7" t="s">
        <v>107</v>
      </c>
      <c r="C59" s="8">
        <v>2727</v>
      </c>
      <c r="D59" s="9">
        <v>8.4700000000000006</v>
      </c>
      <c r="E59" s="9">
        <f t="shared" si="0"/>
        <v>23097.690000000002</v>
      </c>
    </row>
    <row r="60" spans="1:5" x14ac:dyDescent="0.25">
      <c r="A60" s="2" t="s">
        <v>59</v>
      </c>
      <c r="B60" s="2" t="s">
        <v>60</v>
      </c>
      <c r="C60" s="3">
        <v>4863</v>
      </c>
      <c r="D60" s="4">
        <v>65.069999999999993</v>
      </c>
      <c r="E60" s="4">
        <f t="shared" si="0"/>
        <v>316435.40999999997</v>
      </c>
    </row>
    <row r="61" spans="1:5" x14ac:dyDescent="0.25">
      <c r="A61" s="7" t="s">
        <v>14</v>
      </c>
      <c r="B61" s="7" t="s">
        <v>15</v>
      </c>
      <c r="C61" s="8">
        <v>1916</v>
      </c>
      <c r="D61" s="9">
        <v>54.23</v>
      </c>
      <c r="E61" s="9">
        <f t="shared" si="0"/>
        <v>103904.68</v>
      </c>
    </row>
    <row r="62" spans="1:5" x14ac:dyDescent="0.25">
      <c r="A62" s="2" t="s">
        <v>53</v>
      </c>
      <c r="B62" s="2" t="s">
        <v>54</v>
      </c>
      <c r="C62" s="3">
        <v>3048</v>
      </c>
      <c r="D62" s="4">
        <v>144.41999999999999</v>
      </c>
      <c r="E62" s="4">
        <f t="shared" si="0"/>
        <v>440192.16</v>
      </c>
    </row>
    <row r="63" spans="1:5" x14ac:dyDescent="0.25">
      <c r="A63" s="7" t="s">
        <v>23</v>
      </c>
      <c r="B63" s="7" t="s">
        <v>24</v>
      </c>
      <c r="C63" s="8">
        <v>1493</v>
      </c>
      <c r="D63" s="9">
        <v>533.08000000000004</v>
      </c>
      <c r="E63" s="9">
        <f t="shared" si="0"/>
        <v>795888.44000000006</v>
      </c>
    </row>
    <row r="64" spans="1:5" x14ac:dyDescent="0.25">
      <c r="A64" s="2" t="s">
        <v>37</v>
      </c>
      <c r="B64" s="2" t="s">
        <v>38</v>
      </c>
      <c r="C64" s="3">
        <v>1330</v>
      </c>
      <c r="D64" s="4">
        <v>34.94</v>
      </c>
      <c r="E64" s="4">
        <f t="shared" si="0"/>
        <v>46470.2</v>
      </c>
    </row>
    <row r="65" spans="1:5" x14ac:dyDescent="0.25">
      <c r="A65" s="7" t="s">
        <v>67</v>
      </c>
      <c r="B65" s="7" t="s">
        <v>68</v>
      </c>
      <c r="C65" s="8">
        <v>4457</v>
      </c>
      <c r="D65" s="9">
        <v>2496.77</v>
      </c>
      <c r="E65" s="9">
        <f t="shared" si="0"/>
        <v>11128103.890000001</v>
      </c>
    </row>
    <row r="66" spans="1:5" x14ac:dyDescent="0.25">
      <c r="A66" s="2" t="s">
        <v>30</v>
      </c>
      <c r="B66" s="2" t="s">
        <v>31</v>
      </c>
      <c r="C66" s="3">
        <v>2399</v>
      </c>
      <c r="D66" s="4">
        <v>21.17</v>
      </c>
      <c r="E66" s="4">
        <f t="shared" ref="E66:E129" si="1">C66*D66</f>
        <v>50786.83</v>
      </c>
    </row>
    <row r="67" spans="1:5" x14ac:dyDescent="0.25">
      <c r="A67" s="7" t="s">
        <v>37</v>
      </c>
      <c r="B67" s="7" t="s">
        <v>38</v>
      </c>
      <c r="C67" s="8">
        <v>4012</v>
      </c>
      <c r="D67" s="9">
        <v>35.630000000000003</v>
      </c>
      <c r="E67" s="9">
        <f t="shared" si="1"/>
        <v>142947.56</v>
      </c>
    </row>
    <row r="68" spans="1:5" x14ac:dyDescent="0.25">
      <c r="A68" s="2" t="s">
        <v>89</v>
      </c>
      <c r="B68" s="2" t="s">
        <v>90</v>
      </c>
      <c r="C68" s="3">
        <v>889</v>
      </c>
      <c r="D68" s="4">
        <v>43.72</v>
      </c>
      <c r="E68" s="4">
        <f t="shared" si="1"/>
        <v>38867.08</v>
      </c>
    </row>
    <row r="69" spans="1:5" x14ac:dyDescent="0.25">
      <c r="A69" s="7" t="s">
        <v>89</v>
      </c>
      <c r="B69" s="7" t="s">
        <v>90</v>
      </c>
      <c r="C69" s="8">
        <v>3207</v>
      </c>
      <c r="D69" s="9">
        <v>46.08</v>
      </c>
      <c r="E69" s="9">
        <f t="shared" si="1"/>
        <v>147778.56</v>
      </c>
    </row>
    <row r="70" spans="1:5" x14ac:dyDescent="0.25">
      <c r="A70" s="2" t="s">
        <v>37</v>
      </c>
      <c r="B70" s="2" t="s">
        <v>38</v>
      </c>
      <c r="C70" s="3">
        <v>3054</v>
      </c>
      <c r="D70" s="4">
        <v>36.18</v>
      </c>
      <c r="E70" s="4">
        <f t="shared" si="1"/>
        <v>110493.72</v>
      </c>
    </row>
    <row r="71" spans="1:5" x14ac:dyDescent="0.25">
      <c r="A71" s="7" t="s">
        <v>45</v>
      </c>
      <c r="B71" s="7" t="s">
        <v>46</v>
      </c>
      <c r="C71" s="8">
        <v>1208</v>
      </c>
      <c r="D71" s="9">
        <v>185.16</v>
      </c>
      <c r="E71" s="9">
        <f t="shared" si="1"/>
        <v>223673.28</v>
      </c>
    </row>
    <row r="72" spans="1:5" x14ac:dyDescent="0.25">
      <c r="A72" s="2" t="s">
        <v>37</v>
      </c>
      <c r="B72" s="2" t="s">
        <v>38</v>
      </c>
      <c r="C72" s="3">
        <v>965</v>
      </c>
      <c r="D72" s="4">
        <v>34.54</v>
      </c>
      <c r="E72" s="4">
        <f t="shared" si="1"/>
        <v>33331.1</v>
      </c>
    </row>
    <row r="73" spans="1:5" x14ac:dyDescent="0.25">
      <c r="A73" s="7" t="s">
        <v>37</v>
      </c>
      <c r="B73" s="7" t="s">
        <v>38</v>
      </c>
      <c r="C73" s="8">
        <v>4531</v>
      </c>
      <c r="D73" s="9">
        <v>35.369999999999997</v>
      </c>
      <c r="E73" s="9">
        <f t="shared" si="1"/>
        <v>160261.47</v>
      </c>
    </row>
    <row r="74" spans="1:5" x14ac:dyDescent="0.25">
      <c r="A74" s="2" t="s">
        <v>14</v>
      </c>
      <c r="B74" s="2" t="s">
        <v>15</v>
      </c>
      <c r="C74" s="3">
        <v>1244</v>
      </c>
      <c r="D74" s="4">
        <v>53.66</v>
      </c>
      <c r="E74" s="4">
        <f t="shared" si="1"/>
        <v>66753.039999999994</v>
      </c>
    </row>
    <row r="75" spans="1:5" x14ac:dyDescent="0.25">
      <c r="A75" s="7" t="s">
        <v>45</v>
      </c>
      <c r="B75" s="7" t="s">
        <v>46</v>
      </c>
      <c r="C75" s="8">
        <v>3963</v>
      </c>
      <c r="D75" s="9">
        <v>177.62</v>
      </c>
      <c r="E75" s="9">
        <f t="shared" si="1"/>
        <v>703908.06</v>
      </c>
    </row>
    <row r="76" spans="1:5" x14ac:dyDescent="0.25">
      <c r="A76" s="2" t="s">
        <v>45</v>
      </c>
      <c r="B76" s="2" t="s">
        <v>46</v>
      </c>
      <c r="C76" s="3">
        <v>1275</v>
      </c>
      <c r="D76" s="4">
        <v>187.01</v>
      </c>
      <c r="E76" s="4">
        <f t="shared" si="1"/>
        <v>238437.75</v>
      </c>
    </row>
    <row r="77" spans="1:5" x14ac:dyDescent="0.25">
      <c r="A77" s="7" t="s">
        <v>14</v>
      </c>
      <c r="B77" s="7" t="s">
        <v>15</v>
      </c>
      <c r="C77" s="8">
        <v>4912</v>
      </c>
      <c r="D77" s="9">
        <v>52.83</v>
      </c>
      <c r="E77" s="9">
        <f t="shared" si="1"/>
        <v>259500.96</v>
      </c>
    </row>
    <row r="78" spans="1:5" x14ac:dyDescent="0.25">
      <c r="A78" s="2" t="s">
        <v>106</v>
      </c>
      <c r="B78" s="2" t="s">
        <v>107</v>
      </c>
      <c r="C78" s="3">
        <v>1226</v>
      </c>
      <c r="D78" s="4">
        <v>8.24</v>
      </c>
      <c r="E78" s="4">
        <f t="shared" si="1"/>
        <v>10102.24</v>
      </c>
    </row>
    <row r="79" spans="1:5" x14ac:dyDescent="0.25">
      <c r="A79" s="7" t="s">
        <v>14</v>
      </c>
      <c r="B79" s="7" t="s">
        <v>15</v>
      </c>
      <c r="C79" s="8">
        <v>678</v>
      </c>
      <c r="D79" s="9">
        <v>52.87</v>
      </c>
      <c r="E79" s="9">
        <f t="shared" si="1"/>
        <v>35845.86</v>
      </c>
    </row>
    <row r="80" spans="1:5" x14ac:dyDescent="0.25">
      <c r="A80" s="2" t="s">
        <v>89</v>
      </c>
      <c r="B80" s="2" t="s">
        <v>90</v>
      </c>
      <c r="C80" s="3">
        <v>1765</v>
      </c>
      <c r="D80" s="4">
        <v>45.97</v>
      </c>
      <c r="E80" s="4">
        <f t="shared" si="1"/>
        <v>81137.05</v>
      </c>
    </row>
    <row r="81" spans="1:5" x14ac:dyDescent="0.25">
      <c r="A81" s="7" t="s">
        <v>37</v>
      </c>
      <c r="B81" s="7" t="s">
        <v>38</v>
      </c>
      <c r="C81" s="8">
        <v>636</v>
      </c>
      <c r="D81" s="9">
        <v>35.86</v>
      </c>
      <c r="E81" s="9">
        <f t="shared" si="1"/>
        <v>22806.959999999999</v>
      </c>
    </row>
    <row r="82" spans="1:5" x14ac:dyDescent="0.25">
      <c r="A82" s="2" t="s">
        <v>53</v>
      </c>
      <c r="B82" s="2" t="s">
        <v>54</v>
      </c>
      <c r="C82" s="3">
        <v>4966</v>
      </c>
      <c r="D82" s="4">
        <v>155.55000000000001</v>
      </c>
      <c r="E82" s="4">
        <f t="shared" si="1"/>
        <v>772461.3</v>
      </c>
    </row>
    <row r="83" spans="1:5" x14ac:dyDescent="0.25">
      <c r="A83" s="7" t="s">
        <v>89</v>
      </c>
      <c r="B83" s="7" t="s">
        <v>90</v>
      </c>
      <c r="C83" s="8">
        <v>4446</v>
      </c>
      <c r="D83" s="9">
        <v>46.6</v>
      </c>
      <c r="E83" s="9">
        <f t="shared" si="1"/>
        <v>207183.6</v>
      </c>
    </row>
    <row r="84" spans="1:5" x14ac:dyDescent="0.25">
      <c r="A84" s="2" t="s">
        <v>67</v>
      </c>
      <c r="B84" s="2" t="s">
        <v>68</v>
      </c>
      <c r="C84" s="3">
        <v>3382</v>
      </c>
      <c r="D84" s="4">
        <v>2495.87</v>
      </c>
      <c r="E84" s="4">
        <f t="shared" si="1"/>
        <v>8441032.3399999999</v>
      </c>
    </row>
    <row r="85" spans="1:5" x14ac:dyDescent="0.25">
      <c r="A85" s="7" t="s">
        <v>106</v>
      </c>
      <c r="B85" s="7" t="s">
        <v>107</v>
      </c>
      <c r="C85" s="8">
        <v>310</v>
      </c>
      <c r="D85" s="9">
        <v>8.5399999999999991</v>
      </c>
      <c r="E85" s="9">
        <f t="shared" si="1"/>
        <v>2647.3999999999996</v>
      </c>
    </row>
    <row r="86" spans="1:5" x14ac:dyDescent="0.25">
      <c r="A86" s="2" t="s">
        <v>23</v>
      </c>
      <c r="B86" s="2" t="s">
        <v>24</v>
      </c>
      <c r="C86" s="3">
        <v>4149</v>
      </c>
      <c r="D86" s="4">
        <v>559.66</v>
      </c>
      <c r="E86" s="4">
        <f t="shared" si="1"/>
        <v>2322029.34</v>
      </c>
    </row>
    <row r="87" spans="1:5" x14ac:dyDescent="0.25">
      <c r="A87" s="7" t="s">
        <v>30</v>
      </c>
      <c r="B87" s="7" t="s">
        <v>31</v>
      </c>
      <c r="C87" s="8">
        <v>2963</v>
      </c>
      <c r="D87" s="9">
        <v>22.42</v>
      </c>
      <c r="E87" s="9">
        <f t="shared" si="1"/>
        <v>66430.460000000006</v>
      </c>
    </row>
    <row r="88" spans="1:5" x14ac:dyDescent="0.25">
      <c r="A88" s="2" t="s">
        <v>53</v>
      </c>
      <c r="B88" s="2" t="s">
        <v>54</v>
      </c>
      <c r="C88" s="3">
        <v>2370</v>
      </c>
      <c r="D88" s="4">
        <v>151.97</v>
      </c>
      <c r="E88" s="4">
        <f t="shared" si="1"/>
        <v>360168.9</v>
      </c>
    </row>
    <row r="89" spans="1:5" x14ac:dyDescent="0.25">
      <c r="A89" s="7" t="s">
        <v>30</v>
      </c>
      <c r="B89" s="7" t="s">
        <v>31</v>
      </c>
      <c r="C89" s="8">
        <v>4632</v>
      </c>
      <c r="D89" s="9">
        <v>21.39</v>
      </c>
      <c r="E89" s="9">
        <f t="shared" si="1"/>
        <v>99078.48</v>
      </c>
    </row>
    <row r="90" spans="1:5" x14ac:dyDescent="0.25">
      <c r="A90" s="2" t="s">
        <v>67</v>
      </c>
      <c r="B90" s="2" t="s">
        <v>68</v>
      </c>
      <c r="C90" s="3">
        <v>2936</v>
      </c>
      <c r="D90" s="4">
        <v>2592.77</v>
      </c>
      <c r="E90" s="4">
        <f t="shared" si="1"/>
        <v>7612372.7199999997</v>
      </c>
    </row>
    <row r="91" spans="1:5" x14ac:dyDescent="0.25">
      <c r="A91" s="7" t="s">
        <v>89</v>
      </c>
      <c r="B91" s="7" t="s">
        <v>90</v>
      </c>
      <c r="C91" s="8">
        <v>3825</v>
      </c>
      <c r="D91" s="9">
        <v>44.55</v>
      </c>
      <c r="E91" s="9">
        <f t="shared" si="1"/>
        <v>170403.75</v>
      </c>
    </row>
    <row r="92" spans="1:5" x14ac:dyDescent="0.25">
      <c r="A92" s="2" t="s">
        <v>45</v>
      </c>
      <c r="B92" s="2" t="s">
        <v>46</v>
      </c>
      <c r="C92" s="3">
        <v>3537</v>
      </c>
      <c r="D92" s="4">
        <v>186.61</v>
      </c>
      <c r="E92" s="4">
        <f t="shared" si="1"/>
        <v>660039.57000000007</v>
      </c>
    </row>
    <row r="93" spans="1:5" x14ac:dyDescent="0.25">
      <c r="A93" s="7" t="s">
        <v>67</v>
      </c>
      <c r="B93" s="7" t="s">
        <v>68</v>
      </c>
      <c r="C93" s="8">
        <v>4781</v>
      </c>
      <c r="D93" s="9">
        <v>2452.2600000000002</v>
      </c>
      <c r="E93" s="9">
        <f t="shared" si="1"/>
        <v>11724255.060000001</v>
      </c>
    </row>
    <row r="94" spans="1:5" x14ac:dyDescent="0.25">
      <c r="A94" s="2" t="s">
        <v>59</v>
      </c>
      <c r="B94" s="2" t="s">
        <v>60</v>
      </c>
      <c r="C94" s="3">
        <v>3064</v>
      </c>
      <c r="D94" s="4">
        <v>67.069999999999993</v>
      </c>
      <c r="E94" s="4">
        <f t="shared" si="1"/>
        <v>205502.47999999998</v>
      </c>
    </row>
    <row r="95" spans="1:5" x14ac:dyDescent="0.25">
      <c r="A95" s="7" t="s">
        <v>53</v>
      </c>
      <c r="B95" s="7" t="s">
        <v>54</v>
      </c>
      <c r="C95" s="8">
        <v>2054</v>
      </c>
      <c r="D95" s="9">
        <v>145.19999999999999</v>
      </c>
      <c r="E95" s="9">
        <f t="shared" si="1"/>
        <v>298240.8</v>
      </c>
    </row>
    <row r="96" spans="1:5" x14ac:dyDescent="0.25">
      <c r="A96" s="2" t="s">
        <v>37</v>
      </c>
      <c r="B96" s="2" t="s">
        <v>38</v>
      </c>
      <c r="C96" s="3">
        <v>1587</v>
      </c>
      <c r="D96" s="4">
        <v>36.049999999999997</v>
      </c>
      <c r="E96" s="4">
        <f t="shared" si="1"/>
        <v>57211.35</v>
      </c>
    </row>
    <row r="97" spans="1:5" x14ac:dyDescent="0.25">
      <c r="A97" s="7" t="s">
        <v>23</v>
      </c>
      <c r="B97" s="7" t="s">
        <v>24</v>
      </c>
      <c r="C97" s="8">
        <v>109</v>
      </c>
      <c r="D97" s="9">
        <v>544.78</v>
      </c>
      <c r="E97" s="9">
        <f t="shared" si="1"/>
        <v>59381.02</v>
      </c>
    </row>
    <row r="98" spans="1:5" x14ac:dyDescent="0.25">
      <c r="A98" s="2" t="s">
        <v>45</v>
      </c>
      <c r="B98" s="2" t="s">
        <v>46</v>
      </c>
      <c r="C98" s="3">
        <v>4191</v>
      </c>
      <c r="D98" s="4">
        <v>176.72</v>
      </c>
      <c r="E98" s="4">
        <f t="shared" si="1"/>
        <v>740633.52</v>
      </c>
    </row>
    <row r="99" spans="1:5" x14ac:dyDescent="0.25">
      <c r="A99" s="7" t="s">
        <v>37</v>
      </c>
      <c r="B99" s="7" t="s">
        <v>38</v>
      </c>
      <c r="C99" s="8">
        <v>3057</v>
      </c>
      <c r="D99" s="9">
        <v>35.21</v>
      </c>
      <c r="E99" s="9">
        <f t="shared" si="1"/>
        <v>107636.97</v>
      </c>
    </row>
    <row r="100" spans="1:5" x14ac:dyDescent="0.25">
      <c r="A100" s="2" t="s">
        <v>53</v>
      </c>
      <c r="B100" s="2" t="s">
        <v>54</v>
      </c>
      <c r="C100" s="3">
        <v>391</v>
      </c>
      <c r="D100" s="4">
        <v>154.38</v>
      </c>
      <c r="E100" s="4">
        <f t="shared" si="1"/>
        <v>60362.58</v>
      </c>
    </row>
    <row r="101" spans="1:5" x14ac:dyDescent="0.25">
      <c r="A101" s="7" t="s">
        <v>37</v>
      </c>
      <c r="B101" s="7" t="s">
        <v>38</v>
      </c>
      <c r="C101" s="8">
        <v>202</v>
      </c>
      <c r="D101" s="9">
        <v>35.53</v>
      </c>
      <c r="E101" s="9">
        <f t="shared" si="1"/>
        <v>7177.06</v>
      </c>
    </row>
    <row r="102" spans="1:5" x14ac:dyDescent="0.25">
      <c r="A102" s="2" t="s">
        <v>30</v>
      </c>
      <c r="B102" s="2" t="s">
        <v>31</v>
      </c>
      <c r="C102" s="3">
        <v>4231</v>
      </c>
      <c r="D102" s="4">
        <v>22.59</v>
      </c>
      <c r="E102" s="4">
        <f t="shared" si="1"/>
        <v>95578.29</v>
      </c>
    </row>
    <row r="103" spans="1:5" x14ac:dyDescent="0.25">
      <c r="A103" s="7" t="s">
        <v>45</v>
      </c>
      <c r="B103" s="7" t="s">
        <v>46</v>
      </c>
      <c r="C103" s="8">
        <v>1667</v>
      </c>
      <c r="D103" s="9">
        <v>186.54</v>
      </c>
      <c r="E103" s="9">
        <f t="shared" si="1"/>
        <v>310962.18</v>
      </c>
    </row>
    <row r="104" spans="1:5" x14ac:dyDescent="0.25">
      <c r="A104" s="2" t="s">
        <v>53</v>
      </c>
      <c r="B104" s="2" t="s">
        <v>54</v>
      </c>
      <c r="C104" s="3">
        <v>4930</v>
      </c>
      <c r="D104" s="4">
        <v>146.91999999999999</v>
      </c>
      <c r="E104" s="4">
        <f t="shared" si="1"/>
        <v>724315.6</v>
      </c>
    </row>
    <row r="105" spans="1:5" x14ac:dyDescent="0.25">
      <c r="A105" s="7" t="s">
        <v>37</v>
      </c>
      <c r="B105" s="7" t="s">
        <v>38</v>
      </c>
      <c r="C105" s="8">
        <v>932</v>
      </c>
      <c r="D105" s="9">
        <v>34.729999999999997</v>
      </c>
      <c r="E105" s="9">
        <f t="shared" si="1"/>
        <v>32368.359999999997</v>
      </c>
    </row>
    <row r="106" spans="1:5" x14ac:dyDescent="0.25">
      <c r="A106" s="2" t="s">
        <v>53</v>
      </c>
      <c r="B106" s="2" t="s">
        <v>54</v>
      </c>
      <c r="C106" s="3">
        <v>1539</v>
      </c>
      <c r="D106" s="4">
        <v>152.41999999999999</v>
      </c>
      <c r="E106" s="4">
        <f t="shared" si="1"/>
        <v>234574.37999999998</v>
      </c>
    </row>
    <row r="107" spans="1:5" x14ac:dyDescent="0.25">
      <c r="A107" s="7" t="s">
        <v>45</v>
      </c>
      <c r="B107" s="7" t="s">
        <v>46</v>
      </c>
      <c r="C107" s="8">
        <v>2064</v>
      </c>
      <c r="D107" s="9">
        <v>178.66</v>
      </c>
      <c r="E107" s="9">
        <f t="shared" si="1"/>
        <v>368754.24</v>
      </c>
    </row>
    <row r="108" spans="1:5" x14ac:dyDescent="0.25">
      <c r="A108" s="2" t="s">
        <v>67</v>
      </c>
      <c r="B108" s="2" t="s">
        <v>68</v>
      </c>
      <c r="C108" s="3">
        <v>4370</v>
      </c>
      <c r="D108" s="4">
        <v>2561.21</v>
      </c>
      <c r="E108" s="4">
        <f t="shared" si="1"/>
        <v>11192487.699999999</v>
      </c>
    </row>
    <row r="109" spans="1:5" x14ac:dyDescent="0.25">
      <c r="A109" s="7" t="s">
        <v>106</v>
      </c>
      <c r="B109" s="7" t="s">
        <v>107</v>
      </c>
      <c r="C109" s="8">
        <v>2039</v>
      </c>
      <c r="D109" s="9">
        <v>8.51</v>
      </c>
      <c r="E109" s="9">
        <f t="shared" si="1"/>
        <v>17351.89</v>
      </c>
    </row>
    <row r="110" spans="1:5" x14ac:dyDescent="0.25">
      <c r="A110" s="2" t="s">
        <v>14</v>
      </c>
      <c r="B110" s="2" t="s">
        <v>15</v>
      </c>
      <c r="C110" s="3">
        <v>1796</v>
      </c>
      <c r="D110" s="4">
        <v>56.59</v>
      </c>
      <c r="E110" s="4">
        <f t="shared" si="1"/>
        <v>101635.64</v>
      </c>
    </row>
    <row r="111" spans="1:5" x14ac:dyDescent="0.25">
      <c r="A111" s="7" t="s">
        <v>37</v>
      </c>
      <c r="B111" s="7" t="s">
        <v>38</v>
      </c>
      <c r="C111" s="8">
        <v>3198</v>
      </c>
      <c r="D111" s="9">
        <v>33.82</v>
      </c>
      <c r="E111" s="9">
        <f t="shared" si="1"/>
        <v>108156.36</v>
      </c>
    </row>
    <row r="112" spans="1:5" x14ac:dyDescent="0.25">
      <c r="A112" s="2" t="s">
        <v>53</v>
      </c>
      <c r="B112" s="2" t="s">
        <v>54</v>
      </c>
      <c r="C112" s="3">
        <v>2393</v>
      </c>
      <c r="D112" s="4">
        <v>144.65</v>
      </c>
      <c r="E112" s="4">
        <f t="shared" si="1"/>
        <v>346147.45</v>
      </c>
    </row>
    <row r="113" spans="1:5" x14ac:dyDescent="0.25">
      <c r="A113" s="7" t="s">
        <v>30</v>
      </c>
      <c r="B113" s="7" t="s">
        <v>31</v>
      </c>
      <c r="C113" s="8">
        <v>1358</v>
      </c>
      <c r="D113" s="9">
        <v>22.55</v>
      </c>
      <c r="E113" s="9">
        <f t="shared" si="1"/>
        <v>30622.9</v>
      </c>
    </row>
    <row r="114" spans="1:5" x14ac:dyDescent="0.25">
      <c r="A114" s="2" t="s">
        <v>59</v>
      </c>
      <c r="B114" s="2" t="s">
        <v>60</v>
      </c>
      <c r="C114" s="3">
        <v>2039</v>
      </c>
      <c r="D114" s="4">
        <v>62.91</v>
      </c>
      <c r="E114" s="4">
        <f t="shared" si="1"/>
        <v>128273.48999999999</v>
      </c>
    </row>
    <row r="115" spans="1:5" x14ac:dyDescent="0.25">
      <c r="A115" s="7" t="s">
        <v>30</v>
      </c>
      <c r="B115" s="7" t="s">
        <v>31</v>
      </c>
      <c r="C115" s="8">
        <v>3553</v>
      </c>
      <c r="D115" s="9">
        <v>22.08</v>
      </c>
      <c r="E115" s="9">
        <f t="shared" si="1"/>
        <v>78450.239999999991</v>
      </c>
    </row>
    <row r="116" spans="1:5" x14ac:dyDescent="0.25">
      <c r="A116" s="2" t="s">
        <v>23</v>
      </c>
      <c r="B116" s="2" t="s">
        <v>24</v>
      </c>
      <c r="C116" s="3">
        <v>3022</v>
      </c>
      <c r="D116" s="4">
        <v>531.46</v>
      </c>
      <c r="E116" s="4">
        <f t="shared" si="1"/>
        <v>1606072.12</v>
      </c>
    </row>
    <row r="117" spans="1:5" x14ac:dyDescent="0.25">
      <c r="A117" s="7" t="s">
        <v>30</v>
      </c>
      <c r="B117" s="7" t="s">
        <v>31</v>
      </c>
      <c r="C117" s="8">
        <v>3639</v>
      </c>
      <c r="D117" s="9">
        <v>22.22</v>
      </c>
      <c r="E117" s="9">
        <f t="shared" si="1"/>
        <v>80858.58</v>
      </c>
    </row>
    <row r="118" spans="1:5" x14ac:dyDescent="0.25">
      <c r="A118" s="2" t="s">
        <v>59</v>
      </c>
      <c r="B118" s="2" t="s">
        <v>60</v>
      </c>
      <c r="C118" s="3">
        <v>3493</v>
      </c>
      <c r="D118" s="4">
        <v>65.959999999999994</v>
      </c>
      <c r="E118" s="4">
        <f t="shared" si="1"/>
        <v>230398.27999999997</v>
      </c>
    </row>
    <row r="119" spans="1:5" x14ac:dyDescent="0.25">
      <c r="A119" s="7" t="s">
        <v>53</v>
      </c>
      <c r="B119" s="7" t="s">
        <v>54</v>
      </c>
      <c r="C119" s="8">
        <v>4140</v>
      </c>
      <c r="D119" s="9">
        <v>149.11000000000001</v>
      </c>
      <c r="E119" s="9">
        <f t="shared" si="1"/>
        <v>617315.4</v>
      </c>
    </row>
    <row r="120" spans="1:5" x14ac:dyDescent="0.25">
      <c r="A120" s="2" t="s">
        <v>89</v>
      </c>
      <c r="B120" s="2" t="s">
        <v>90</v>
      </c>
      <c r="C120" s="3">
        <v>3102</v>
      </c>
      <c r="D120" s="4">
        <v>45.2</v>
      </c>
      <c r="E120" s="4">
        <f t="shared" si="1"/>
        <v>140210.40000000002</v>
      </c>
    </row>
    <row r="121" spans="1:5" x14ac:dyDescent="0.25">
      <c r="A121" s="7" t="s">
        <v>106</v>
      </c>
      <c r="B121" s="7" t="s">
        <v>107</v>
      </c>
      <c r="C121" s="8">
        <v>738</v>
      </c>
      <c r="D121" s="9">
        <v>8.66</v>
      </c>
      <c r="E121" s="9">
        <f t="shared" si="1"/>
        <v>6391.08</v>
      </c>
    </row>
    <row r="122" spans="1:5" x14ac:dyDescent="0.25">
      <c r="A122" s="2" t="s">
        <v>14</v>
      </c>
      <c r="B122" s="2" t="s">
        <v>15</v>
      </c>
      <c r="C122" s="3">
        <v>2147</v>
      </c>
      <c r="D122" s="4">
        <v>57.03</v>
      </c>
      <c r="E122" s="4">
        <f t="shared" si="1"/>
        <v>122443.41</v>
      </c>
    </row>
    <row r="123" spans="1:5" x14ac:dyDescent="0.25">
      <c r="A123" s="7" t="s">
        <v>23</v>
      </c>
      <c r="B123" s="7" t="s">
        <v>24</v>
      </c>
      <c r="C123" s="8">
        <v>3731</v>
      </c>
      <c r="D123" s="9">
        <v>543.48</v>
      </c>
      <c r="E123" s="9">
        <f t="shared" si="1"/>
        <v>2027723.8800000001</v>
      </c>
    </row>
    <row r="124" spans="1:5" x14ac:dyDescent="0.25">
      <c r="A124" s="2" t="s">
        <v>37</v>
      </c>
      <c r="B124" s="2" t="s">
        <v>38</v>
      </c>
      <c r="C124" s="3">
        <v>2857</v>
      </c>
      <c r="D124" s="4">
        <v>34.03</v>
      </c>
      <c r="E124" s="4">
        <f t="shared" si="1"/>
        <v>97223.71</v>
      </c>
    </row>
    <row r="125" spans="1:5" x14ac:dyDescent="0.25">
      <c r="A125" s="7" t="s">
        <v>53</v>
      </c>
      <c r="B125" s="7" t="s">
        <v>54</v>
      </c>
      <c r="C125" s="8">
        <v>1786</v>
      </c>
      <c r="D125" s="9">
        <v>154.32</v>
      </c>
      <c r="E125" s="9">
        <f t="shared" si="1"/>
        <v>275615.51999999996</v>
      </c>
    </row>
    <row r="126" spans="1:5" x14ac:dyDescent="0.25">
      <c r="A126" s="2" t="s">
        <v>37</v>
      </c>
      <c r="B126" s="2" t="s">
        <v>38</v>
      </c>
      <c r="C126" s="3">
        <v>2775</v>
      </c>
      <c r="D126" s="4">
        <v>35.450000000000003</v>
      </c>
      <c r="E126" s="4">
        <f t="shared" si="1"/>
        <v>98373.750000000015</v>
      </c>
    </row>
    <row r="127" spans="1:5" x14ac:dyDescent="0.25">
      <c r="A127" s="7" t="s">
        <v>53</v>
      </c>
      <c r="B127" s="7" t="s">
        <v>54</v>
      </c>
      <c r="C127" s="8">
        <v>449</v>
      </c>
      <c r="D127" s="9">
        <v>151.12</v>
      </c>
      <c r="E127" s="9">
        <f t="shared" si="1"/>
        <v>67852.88</v>
      </c>
    </row>
    <row r="128" spans="1:5" x14ac:dyDescent="0.25">
      <c r="A128" s="2" t="s">
        <v>45</v>
      </c>
      <c r="B128" s="2" t="s">
        <v>46</v>
      </c>
      <c r="C128" s="3">
        <v>1279</v>
      </c>
      <c r="D128" s="4">
        <v>175.79</v>
      </c>
      <c r="E128" s="4">
        <f t="shared" si="1"/>
        <v>224835.41</v>
      </c>
    </row>
    <row r="129" spans="1:5" x14ac:dyDescent="0.25">
      <c r="A129" s="7" t="s">
        <v>14</v>
      </c>
      <c r="B129" s="7" t="s">
        <v>15</v>
      </c>
      <c r="C129" s="8">
        <v>2378</v>
      </c>
      <c r="D129" s="9">
        <v>56.34</v>
      </c>
      <c r="E129" s="9">
        <f t="shared" si="1"/>
        <v>133976.52000000002</v>
      </c>
    </row>
    <row r="130" spans="1:5" x14ac:dyDescent="0.25">
      <c r="A130" s="2" t="s">
        <v>53</v>
      </c>
      <c r="B130" s="2" t="s">
        <v>54</v>
      </c>
      <c r="C130" s="3">
        <v>2872</v>
      </c>
      <c r="D130" s="4">
        <v>147.26</v>
      </c>
      <c r="E130" s="4">
        <f t="shared" ref="E130:E193" si="2">C130*D130</f>
        <v>422930.72</v>
      </c>
    </row>
    <row r="131" spans="1:5" x14ac:dyDescent="0.25">
      <c r="A131" s="7" t="s">
        <v>37</v>
      </c>
      <c r="B131" s="7" t="s">
        <v>38</v>
      </c>
      <c r="C131" s="8">
        <v>1341</v>
      </c>
      <c r="D131" s="9">
        <v>35.619999999999997</v>
      </c>
      <c r="E131" s="9">
        <f t="shared" si="2"/>
        <v>47766.42</v>
      </c>
    </row>
    <row r="132" spans="1:5" x14ac:dyDescent="0.25">
      <c r="A132" s="2" t="s">
        <v>53</v>
      </c>
      <c r="B132" s="2" t="s">
        <v>54</v>
      </c>
      <c r="C132" s="3">
        <v>2285</v>
      </c>
      <c r="D132" s="4">
        <v>154.44</v>
      </c>
      <c r="E132" s="4">
        <f t="shared" si="2"/>
        <v>352895.4</v>
      </c>
    </row>
    <row r="133" spans="1:5" x14ac:dyDescent="0.25">
      <c r="A133" s="7" t="s">
        <v>37</v>
      </c>
      <c r="B133" s="7" t="s">
        <v>38</v>
      </c>
      <c r="C133" s="8">
        <v>183</v>
      </c>
      <c r="D133" s="9">
        <v>36.159999999999997</v>
      </c>
      <c r="E133" s="9">
        <f t="shared" si="2"/>
        <v>6617.28</v>
      </c>
    </row>
    <row r="134" spans="1:5" x14ac:dyDescent="0.25">
      <c r="A134" s="2" t="s">
        <v>37</v>
      </c>
      <c r="B134" s="2" t="s">
        <v>38</v>
      </c>
      <c r="C134" s="3">
        <v>3250</v>
      </c>
      <c r="D134" s="4">
        <v>34.72</v>
      </c>
      <c r="E134" s="4">
        <f t="shared" si="2"/>
        <v>112840</v>
      </c>
    </row>
    <row r="135" spans="1:5" x14ac:dyDescent="0.25">
      <c r="A135" s="7" t="s">
        <v>14</v>
      </c>
      <c r="B135" s="7" t="s">
        <v>15</v>
      </c>
      <c r="C135" s="8">
        <v>4768</v>
      </c>
      <c r="D135" s="9">
        <v>56.02</v>
      </c>
      <c r="E135" s="9">
        <f t="shared" si="2"/>
        <v>267103.35999999999</v>
      </c>
    </row>
    <row r="136" spans="1:5" x14ac:dyDescent="0.25">
      <c r="A136" s="2" t="s">
        <v>37</v>
      </c>
      <c r="B136" s="2" t="s">
        <v>38</v>
      </c>
      <c r="C136" s="3">
        <v>1968</v>
      </c>
      <c r="D136" s="4">
        <v>35.71</v>
      </c>
      <c r="E136" s="4">
        <f t="shared" si="2"/>
        <v>70277.279999999999</v>
      </c>
    </row>
    <row r="137" spans="1:5" x14ac:dyDescent="0.25">
      <c r="A137" s="7" t="s">
        <v>106</v>
      </c>
      <c r="B137" s="7" t="s">
        <v>107</v>
      </c>
      <c r="C137" s="8">
        <v>4957</v>
      </c>
      <c r="D137" s="9">
        <v>8.68</v>
      </c>
      <c r="E137" s="9">
        <f t="shared" si="2"/>
        <v>43026.76</v>
      </c>
    </row>
    <row r="138" spans="1:5" x14ac:dyDescent="0.25">
      <c r="A138" s="2" t="s">
        <v>53</v>
      </c>
      <c r="B138" s="2" t="s">
        <v>54</v>
      </c>
      <c r="C138" s="3">
        <v>4745</v>
      </c>
      <c r="D138" s="4">
        <v>151.72</v>
      </c>
      <c r="E138" s="4">
        <f t="shared" si="2"/>
        <v>719911.4</v>
      </c>
    </row>
    <row r="139" spans="1:5" x14ac:dyDescent="0.25">
      <c r="A139" s="7" t="s">
        <v>45</v>
      </c>
      <c r="B139" s="7" t="s">
        <v>46</v>
      </c>
      <c r="C139" s="8">
        <v>3311</v>
      </c>
      <c r="D139" s="9">
        <v>180.04</v>
      </c>
      <c r="E139" s="9">
        <f t="shared" si="2"/>
        <v>596112.43999999994</v>
      </c>
    </row>
    <row r="140" spans="1:5" x14ac:dyDescent="0.25">
      <c r="A140" s="2" t="s">
        <v>37</v>
      </c>
      <c r="B140" s="2" t="s">
        <v>38</v>
      </c>
      <c r="C140" s="3">
        <v>3114</v>
      </c>
      <c r="D140" s="4">
        <v>35.380000000000003</v>
      </c>
      <c r="E140" s="4">
        <f t="shared" si="2"/>
        <v>110173.32</v>
      </c>
    </row>
    <row r="141" spans="1:5" x14ac:dyDescent="0.25">
      <c r="A141" s="7" t="s">
        <v>89</v>
      </c>
      <c r="B141" s="7" t="s">
        <v>90</v>
      </c>
      <c r="C141" s="8">
        <v>1398</v>
      </c>
      <c r="D141" s="9">
        <v>46.7</v>
      </c>
      <c r="E141" s="9">
        <f t="shared" si="2"/>
        <v>65286.600000000006</v>
      </c>
    </row>
    <row r="142" spans="1:5" x14ac:dyDescent="0.25">
      <c r="A142" s="2" t="s">
        <v>89</v>
      </c>
      <c r="B142" s="2" t="s">
        <v>90</v>
      </c>
      <c r="C142" s="3">
        <v>2307</v>
      </c>
      <c r="D142" s="4">
        <v>46.47</v>
      </c>
      <c r="E142" s="4">
        <f t="shared" si="2"/>
        <v>107206.29</v>
      </c>
    </row>
    <row r="143" spans="1:5" x14ac:dyDescent="0.25">
      <c r="A143" s="7" t="s">
        <v>59</v>
      </c>
      <c r="B143" s="7" t="s">
        <v>60</v>
      </c>
      <c r="C143" s="8">
        <v>692</v>
      </c>
      <c r="D143" s="9">
        <v>64.67</v>
      </c>
      <c r="E143" s="9">
        <f t="shared" si="2"/>
        <v>44751.64</v>
      </c>
    </row>
    <row r="144" spans="1:5" x14ac:dyDescent="0.25">
      <c r="A144" s="2" t="s">
        <v>106</v>
      </c>
      <c r="B144" s="2" t="s">
        <v>107</v>
      </c>
      <c r="C144" s="3">
        <v>3856</v>
      </c>
      <c r="D144" s="4">
        <v>8.5</v>
      </c>
      <c r="E144" s="4">
        <f t="shared" si="2"/>
        <v>32776</v>
      </c>
    </row>
    <row r="145" spans="1:5" x14ac:dyDescent="0.25">
      <c r="A145" s="7" t="s">
        <v>14</v>
      </c>
      <c r="B145" s="7" t="s">
        <v>15</v>
      </c>
      <c r="C145" s="8">
        <v>3470</v>
      </c>
      <c r="D145" s="9">
        <v>55.71</v>
      </c>
      <c r="E145" s="9">
        <f t="shared" si="2"/>
        <v>193313.7</v>
      </c>
    </row>
    <row r="146" spans="1:5" x14ac:dyDescent="0.25">
      <c r="A146" s="2" t="s">
        <v>37</v>
      </c>
      <c r="B146" s="2" t="s">
        <v>38</v>
      </c>
      <c r="C146" s="3">
        <v>529</v>
      </c>
      <c r="D146" s="4">
        <v>35.659999999999997</v>
      </c>
      <c r="E146" s="4">
        <f t="shared" si="2"/>
        <v>18864.14</v>
      </c>
    </row>
    <row r="147" spans="1:5" x14ac:dyDescent="0.25">
      <c r="A147" s="7" t="s">
        <v>23</v>
      </c>
      <c r="B147" s="7" t="s">
        <v>24</v>
      </c>
      <c r="C147" s="8">
        <v>2586</v>
      </c>
      <c r="D147" s="9">
        <v>555.88</v>
      </c>
      <c r="E147" s="9">
        <f t="shared" si="2"/>
        <v>1437505.68</v>
      </c>
    </row>
    <row r="148" spans="1:5" x14ac:dyDescent="0.25">
      <c r="A148" s="2" t="s">
        <v>45</v>
      </c>
      <c r="B148" s="2" t="s">
        <v>46</v>
      </c>
      <c r="C148" s="3">
        <v>189</v>
      </c>
      <c r="D148" s="4">
        <v>179.04</v>
      </c>
      <c r="E148" s="4">
        <f t="shared" si="2"/>
        <v>33838.559999999998</v>
      </c>
    </row>
    <row r="149" spans="1:5" x14ac:dyDescent="0.25">
      <c r="A149" s="7" t="s">
        <v>23</v>
      </c>
      <c r="B149" s="7" t="s">
        <v>24</v>
      </c>
      <c r="C149" s="8">
        <v>4139</v>
      </c>
      <c r="D149" s="9">
        <v>533.03</v>
      </c>
      <c r="E149" s="9">
        <f t="shared" si="2"/>
        <v>2206211.17</v>
      </c>
    </row>
    <row r="150" spans="1:5" x14ac:dyDescent="0.25">
      <c r="A150" s="2" t="s">
        <v>30</v>
      </c>
      <c r="B150" s="2" t="s">
        <v>31</v>
      </c>
      <c r="C150" s="3">
        <v>1977</v>
      </c>
      <c r="D150" s="4">
        <v>22.02</v>
      </c>
      <c r="E150" s="4">
        <f t="shared" si="2"/>
        <v>43533.54</v>
      </c>
    </row>
    <row r="151" spans="1:5" x14ac:dyDescent="0.25">
      <c r="A151" s="7" t="s">
        <v>45</v>
      </c>
      <c r="B151" s="7" t="s">
        <v>46</v>
      </c>
      <c r="C151" s="8">
        <v>1569</v>
      </c>
      <c r="D151" s="9">
        <v>183.43</v>
      </c>
      <c r="E151" s="9">
        <f t="shared" si="2"/>
        <v>287801.67</v>
      </c>
    </row>
    <row r="152" spans="1:5" x14ac:dyDescent="0.25">
      <c r="A152" s="2" t="s">
        <v>67</v>
      </c>
      <c r="B152" s="2" t="s">
        <v>68</v>
      </c>
      <c r="C152" s="3">
        <v>4178</v>
      </c>
      <c r="D152" s="4">
        <v>2406.64</v>
      </c>
      <c r="E152" s="4">
        <f t="shared" si="2"/>
        <v>10054941.92</v>
      </c>
    </row>
    <row r="153" spans="1:5" x14ac:dyDescent="0.25">
      <c r="A153" s="7" t="s">
        <v>59</v>
      </c>
      <c r="B153" s="7" t="s">
        <v>60</v>
      </c>
      <c r="C153" s="8">
        <v>1138</v>
      </c>
      <c r="D153" s="9">
        <v>65.819999999999993</v>
      </c>
      <c r="E153" s="9">
        <f t="shared" si="2"/>
        <v>74903.159999999989</v>
      </c>
    </row>
    <row r="154" spans="1:5" x14ac:dyDescent="0.25">
      <c r="A154" s="2" t="s">
        <v>89</v>
      </c>
      <c r="B154" s="2" t="s">
        <v>90</v>
      </c>
      <c r="C154" s="3">
        <v>971</v>
      </c>
      <c r="D154" s="4">
        <v>46.57</v>
      </c>
      <c r="E154" s="4">
        <f t="shared" si="2"/>
        <v>45219.47</v>
      </c>
    </row>
    <row r="155" spans="1:5" x14ac:dyDescent="0.25">
      <c r="A155" s="7" t="s">
        <v>53</v>
      </c>
      <c r="B155" s="7" t="s">
        <v>54</v>
      </c>
      <c r="C155" s="8">
        <v>644</v>
      </c>
      <c r="D155" s="9">
        <v>147.1</v>
      </c>
      <c r="E155" s="9">
        <f t="shared" si="2"/>
        <v>94732.4</v>
      </c>
    </row>
    <row r="156" spans="1:5" x14ac:dyDescent="0.25">
      <c r="A156" s="2" t="s">
        <v>67</v>
      </c>
      <c r="B156" s="2" t="s">
        <v>68</v>
      </c>
      <c r="C156" s="3">
        <v>1578</v>
      </c>
      <c r="D156" s="4">
        <v>2572.27</v>
      </c>
      <c r="E156" s="4">
        <f t="shared" si="2"/>
        <v>4059042.06</v>
      </c>
    </row>
    <row r="157" spans="1:5" x14ac:dyDescent="0.25">
      <c r="A157" s="7" t="s">
        <v>30</v>
      </c>
      <c r="B157" s="7" t="s">
        <v>31</v>
      </c>
      <c r="C157" s="8">
        <v>2395</v>
      </c>
      <c r="D157" s="9">
        <v>21.41</v>
      </c>
      <c r="E157" s="9">
        <f t="shared" si="2"/>
        <v>51276.95</v>
      </c>
    </row>
    <row r="158" spans="1:5" x14ac:dyDescent="0.25">
      <c r="A158" s="2" t="s">
        <v>53</v>
      </c>
      <c r="B158" s="2" t="s">
        <v>54</v>
      </c>
      <c r="C158" s="3">
        <v>1512</v>
      </c>
      <c r="D158" s="4">
        <v>147.5</v>
      </c>
      <c r="E158" s="4">
        <f t="shared" si="2"/>
        <v>223020</v>
      </c>
    </row>
    <row r="159" spans="1:5" x14ac:dyDescent="0.25">
      <c r="A159" s="7" t="s">
        <v>45</v>
      </c>
      <c r="B159" s="7" t="s">
        <v>46</v>
      </c>
      <c r="C159" s="8">
        <v>3044</v>
      </c>
      <c r="D159" s="9">
        <v>185.55</v>
      </c>
      <c r="E159" s="9">
        <f t="shared" si="2"/>
        <v>564814.20000000007</v>
      </c>
    </row>
    <row r="160" spans="1:5" x14ac:dyDescent="0.25">
      <c r="A160" s="2" t="s">
        <v>37</v>
      </c>
      <c r="B160" s="2" t="s">
        <v>38</v>
      </c>
      <c r="C160" s="3">
        <v>4174</v>
      </c>
      <c r="D160" s="4">
        <v>36.130000000000003</v>
      </c>
      <c r="E160" s="4">
        <f t="shared" si="2"/>
        <v>150806.62000000002</v>
      </c>
    </row>
    <row r="161" spans="1:5" x14ac:dyDescent="0.25">
      <c r="A161" s="7" t="s">
        <v>23</v>
      </c>
      <c r="B161" s="7" t="s">
        <v>24</v>
      </c>
      <c r="C161" s="8">
        <v>2817</v>
      </c>
      <c r="D161" s="9">
        <v>543.20000000000005</v>
      </c>
      <c r="E161" s="9">
        <f t="shared" si="2"/>
        <v>1530194.4000000001</v>
      </c>
    </row>
    <row r="162" spans="1:5" x14ac:dyDescent="0.25">
      <c r="A162" s="2" t="s">
        <v>14</v>
      </c>
      <c r="B162" s="2" t="s">
        <v>15</v>
      </c>
      <c r="C162" s="3">
        <v>3793</v>
      </c>
      <c r="D162" s="4">
        <v>54.23</v>
      </c>
      <c r="E162" s="4">
        <f t="shared" si="2"/>
        <v>205694.38999999998</v>
      </c>
    </row>
    <row r="163" spans="1:5" x14ac:dyDescent="0.25">
      <c r="A163" s="7" t="s">
        <v>30</v>
      </c>
      <c r="B163" s="7" t="s">
        <v>31</v>
      </c>
      <c r="C163" s="8">
        <v>4216</v>
      </c>
      <c r="D163" s="9">
        <v>22.14</v>
      </c>
      <c r="E163" s="9">
        <f t="shared" si="2"/>
        <v>93342.24</v>
      </c>
    </row>
    <row r="164" spans="1:5" x14ac:dyDescent="0.25">
      <c r="A164" s="2" t="s">
        <v>14</v>
      </c>
      <c r="B164" s="2" t="s">
        <v>15</v>
      </c>
      <c r="C164" s="3">
        <v>2515</v>
      </c>
      <c r="D164" s="4">
        <v>53.69</v>
      </c>
      <c r="E164" s="4">
        <f t="shared" si="2"/>
        <v>135030.35</v>
      </c>
    </row>
    <row r="165" spans="1:5" x14ac:dyDescent="0.25">
      <c r="A165" s="7" t="s">
        <v>67</v>
      </c>
      <c r="B165" s="7" t="s">
        <v>68</v>
      </c>
      <c r="C165" s="8">
        <v>2763</v>
      </c>
      <c r="D165" s="9">
        <v>2521.6799999999998</v>
      </c>
      <c r="E165" s="9">
        <f t="shared" si="2"/>
        <v>6967401.8399999999</v>
      </c>
    </row>
    <row r="166" spans="1:5" x14ac:dyDescent="0.25">
      <c r="A166" s="2" t="s">
        <v>53</v>
      </c>
      <c r="B166" s="2" t="s">
        <v>54</v>
      </c>
      <c r="C166" s="3">
        <v>1606</v>
      </c>
      <c r="D166" s="4">
        <v>150.76</v>
      </c>
      <c r="E166" s="4">
        <f t="shared" si="2"/>
        <v>242120.56</v>
      </c>
    </row>
    <row r="167" spans="1:5" x14ac:dyDescent="0.25">
      <c r="A167" s="7" t="s">
        <v>14</v>
      </c>
      <c r="B167" s="7" t="s">
        <v>15</v>
      </c>
      <c r="C167" s="8">
        <v>2444</v>
      </c>
      <c r="D167" s="9">
        <v>54.06</v>
      </c>
      <c r="E167" s="9">
        <f t="shared" si="2"/>
        <v>132122.64000000001</v>
      </c>
    </row>
    <row r="168" spans="1:5" x14ac:dyDescent="0.25">
      <c r="A168" s="2" t="s">
        <v>67</v>
      </c>
      <c r="B168" s="2" t="s">
        <v>68</v>
      </c>
      <c r="C168" s="3">
        <v>2398</v>
      </c>
      <c r="D168" s="4">
        <v>2576.17</v>
      </c>
      <c r="E168" s="4">
        <f t="shared" si="2"/>
        <v>6177655.6600000001</v>
      </c>
    </row>
    <row r="169" spans="1:5" x14ac:dyDescent="0.25">
      <c r="A169" s="7" t="s">
        <v>53</v>
      </c>
      <c r="B169" s="7" t="s">
        <v>54</v>
      </c>
      <c r="C169" s="8">
        <v>433</v>
      </c>
      <c r="D169" s="9">
        <v>152.13</v>
      </c>
      <c r="E169" s="9">
        <f t="shared" si="2"/>
        <v>65872.289999999994</v>
      </c>
    </row>
    <row r="170" spans="1:5" x14ac:dyDescent="0.25">
      <c r="A170" s="2" t="s">
        <v>14</v>
      </c>
      <c r="B170" s="2" t="s">
        <v>15</v>
      </c>
      <c r="C170" s="3">
        <v>1815</v>
      </c>
      <c r="D170" s="4">
        <v>54.12</v>
      </c>
      <c r="E170" s="4">
        <f t="shared" si="2"/>
        <v>98227.799999999988</v>
      </c>
    </row>
    <row r="171" spans="1:5" x14ac:dyDescent="0.25">
      <c r="A171" s="7" t="s">
        <v>14</v>
      </c>
      <c r="B171" s="7" t="s">
        <v>15</v>
      </c>
      <c r="C171" s="8">
        <v>4851</v>
      </c>
      <c r="D171" s="9">
        <v>53.33</v>
      </c>
      <c r="E171" s="9">
        <f t="shared" si="2"/>
        <v>258703.83</v>
      </c>
    </row>
    <row r="172" spans="1:5" x14ac:dyDescent="0.25">
      <c r="A172" s="2" t="s">
        <v>59</v>
      </c>
      <c r="B172" s="2" t="s">
        <v>60</v>
      </c>
      <c r="C172" s="3">
        <v>4874</v>
      </c>
      <c r="D172" s="4">
        <v>65.739999999999995</v>
      </c>
      <c r="E172" s="4">
        <f t="shared" si="2"/>
        <v>320416.75999999995</v>
      </c>
    </row>
    <row r="173" spans="1:5" x14ac:dyDescent="0.25">
      <c r="A173" s="7" t="s">
        <v>45</v>
      </c>
      <c r="B173" s="7" t="s">
        <v>46</v>
      </c>
      <c r="C173" s="8">
        <v>4822</v>
      </c>
      <c r="D173" s="9">
        <v>185.52</v>
      </c>
      <c r="E173" s="9">
        <f t="shared" si="2"/>
        <v>894577.44000000006</v>
      </c>
    </row>
    <row r="174" spans="1:5" x14ac:dyDescent="0.25">
      <c r="A174" s="2" t="s">
        <v>53</v>
      </c>
      <c r="B174" s="2" t="s">
        <v>54</v>
      </c>
      <c r="C174" s="3">
        <v>1577</v>
      </c>
      <c r="D174" s="4">
        <v>149.91</v>
      </c>
      <c r="E174" s="4">
        <f t="shared" si="2"/>
        <v>236408.07</v>
      </c>
    </row>
    <row r="175" spans="1:5" x14ac:dyDescent="0.25">
      <c r="A175" s="7" t="s">
        <v>89</v>
      </c>
      <c r="B175" s="7" t="s">
        <v>90</v>
      </c>
      <c r="C175" s="8">
        <v>1168</v>
      </c>
      <c r="D175" s="9">
        <v>44.1</v>
      </c>
      <c r="E175" s="9">
        <f t="shared" si="2"/>
        <v>51508.800000000003</v>
      </c>
    </row>
    <row r="176" spans="1:5" x14ac:dyDescent="0.25">
      <c r="A176" s="2" t="s">
        <v>53</v>
      </c>
      <c r="B176" s="2" t="s">
        <v>54</v>
      </c>
      <c r="C176" s="3">
        <v>949</v>
      </c>
      <c r="D176" s="4">
        <v>145.87</v>
      </c>
      <c r="E176" s="4">
        <f t="shared" si="2"/>
        <v>138430.63</v>
      </c>
    </row>
    <row r="177" spans="1:5" x14ac:dyDescent="0.25">
      <c r="A177" s="7" t="s">
        <v>67</v>
      </c>
      <c r="B177" s="7" t="s">
        <v>68</v>
      </c>
      <c r="C177" s="8">
        <v>1624</v>
      </c>
      <c r="D177" s="9">
        <v>2528.11</v>
      </c>
      <c r="E177" s="9">
        <f t="shared" si="2"/>
        <v>4105650.64</v>
      </c>
    </row>
    <row r="178" spans="1:5" x14ac:dyDescent="0.25">
      <c r="A178" s="2" t="s">
        <v>53</v>
      </c>
      <c r="B178" s="2" t="s">
        <v>54</v>
      </c>
      <c r="C178" s="3">
        <v>3338</v>
      </c>
      <c r="D178" s="4">
        <v>153.85</v>
      </c>
      <c r="E178" s="4">
        <f t="shared" si="2"/>
        <v>513551.3</v>
      </c>
    </row>
    <row r="179" spans="1:5" x14ac:dyDescent="0.25">
      <c r="A179" s="7" t="s">
        <v>45</v>
      </c>
      <c r="B179" s="7" t="s">
        <v>46</v>
      </c>
      <c r="C179" s="8">
        <v>3004</v>
      </c>
      <c r="D179" s="9">
        <v>182.01</v>
      </c>
      <c r="E179" s="9">
        <f t="shared" si="2"/>
        <v>546758.03999999992</v>
      </c>
    </row>
    <row r="180" spans="1:5" x14ac:dyDescent="0.25">
      <c r="A180" s="2" t="s">
        <v>89</v>
      </c>
      <c r="B180" s="2" t="s">
        <v>90</v>
      </c>
      <c r="C180" s="3">
        <v>2945</v>
      </c>
      <c r="D180" s="4">
        <v>44.63</v>
      </c>
      <c r="E180" s="4">
        <f t="shared" si="2"/>
        <v>131435.35</v>
      </c>
    </row>
    <row r="181" spans="1:5" x14ac:dyDescent="0.25">
      <c r="A181" s="7" t="s">
        <v>59</v>
      </c>
      <c r="B181" s="7" t="s">
        <v>60</v>
      </c>
      <c r="C181" s="8">
        <v>1893</v>
      </c>
      <c r="D181" s="9">
        <v>65.239999999999995</v>
      </c>
      <c r="E181" s="9">
        <f t="shared" si="2"/>
        <v>123499.31999999999</v>
      </c>
    </row>
    <row r="182" spans="1:5" x14ac:dyDescent="0.25">
      <c r="A182" s="2" t="s">
        <v>14</v>
      </c>
      <c r="B182" s="2" t="s">
        <v>15</v>
      </c>
      <c r="C182" s="3">
        <v>4428</v>
      </c>
      <c r="D182" s="4">
        <v>55.52</v>
      </c>
      <c r="E182" s="4">
        <f t="shared" si="2"/>
        <v>245842.56000000003</v>
      </c>
    </row>
    <row r="183" spans="1:5" x14ac:dyDescent="0.25">
      <c r="A183" s="7" t="s">
        <v>45</v>
      </c>
      <c r="B183" s="7" t="s">
        <v>46</v>
      </c>
      <c r="C183" s="8">
        <v>3444</v>
      </c>
      <c r="D183" s="9">
        <v>185.13</v>
      </c>
      <c r="E183" s="9">
        <f t="shared" si="2"/>
        <v>637587.72</v>
      </c>
    </row>
    <row r="184" spans="1:5" x14ac:dyDescent="0.25">
      <c r="A184" s="2" t="s">
        <v>45</v>
      </c>
      <c r="B184" s="2" t="s">
        <v>46</v>
      </c>
      <c r="C184" s="3">
        <v>4994</v>
      </c>
      <c r="D184" s="4">
        <v>184.25</v>
      </c>
      <c r="E184" s="4">
        <f t="shared" si="2"/>
        <v>920144.5</v>
      </c>
    </row>
    <row r="185" spans="1:5" x14ac:dyDescent="0.25">
      <c r="A185" s="7" t="s">
        <v>30</v>
      </c>
      <c r="B185" s="7" t="s">
        <v>31</v>
      </c>
      <c r="C185" s="8">
        <v>1393</v>
      </c>
      <c r="D185" s="9">
        <v>22.82</v>
      </c>
      <c r="E185" s="9">
        <f t="shared" si="2"/>
        <v>31788.260000000002</v>
      </c>
    </row>
    <row r="186" spans="1:5" x14ac:dyDescent="0.25">
      <c r="A186" s="2" t="s">
        <v>53</v>
      </c>
      <c r="B186" s="2" t="s">
        <v>54</v>
      </c>
      <c r="C186" s="3">
        <v>2177</v>
      </c>
      <c r="D186" s="4">
        <v>155.32</v>
      </c>
      <c r="E186" s="4">
        <f t="shared" si="2"/>
        <v>338131.64</v>
      </c>
    </row>
    <row r="187" spans="1:5" x14ac:dyDescent="0.25">
      <c r="A187" s="7" t="s">
        <v>37</v>
      </c>
      <c r="B187" s="7" t="s">
        <v>38</v>
      </c>
      <c r="C187" s="8">
        <v>1250</v>
      </c>
      <c r="D187" s="9">
        <v>35.450000000000003</v>
      </c>
      <c r="E187" s="9">
        <f t="shared" si="2"/>
        <v>44312.5</v>
      </c>
    </row>
    <row r="188" spans="1:5" x14ac:dyDescent="0.25">
      <c r="A188" s="2" t="s">
        <v>59</v>
      </c>
      <c r="B188" s="2" t="s">
        <v>60</v>
      </c>
      <c r="C188" s="3">
        <v>3949</v>
      </c>
      <c r="D188" s="4">
        <v>63.5</v>
      </c>
      <c r="E188" s="4">
        <f t="shared" si="2"/>
        <v>250761.5</v>
      </c>
    </row>
    <row r="189" spans="1:5" x14ac:dyDescent="0.25">
      <c r="A189" s="7" t="s">
        <v>106</v>
      </c>
      <c r="B189" s="7" t="s">
        <v>107</v>
      </c>
      <c r="C189" s="8">
        <v>2300</v>
      </c>
      <c r="D189" s="9">
        <v>8.7200000000000006</v>
      </c>
      <c r="E189" s="9">
        <f t="shared" si="2"/>
        <v>20056</v>
      </c>
    </row>
    <row r="190" spans="1:5" x14ac:dyDescent="0.25">
      <c r="A190" s="2" t="s">
        <v>14</v>
      </c>
      <c r="B190" s="2" t="s">
        <v>15</v>
      </c>
      <c r="C190" s="3">
        <v>2195</v>
      </c>
      <c r="D190" s="4">
        <v>54.83</v>
      </c>
      <c r="E190" s="4">
        <f t="shared" si="2"/>
        <v>120351.84999999999</v>
      </c>
    </row>
    <row r="191" spans="1:5" x14ac:dyDescent="0.25">
      <c r="A191" s="7" t="s">
        <v>37</v>
      </c>
      <c r="B191" s="7" t="s">
        <v>38</v>
      </c>
      <c r="C191" s="8">
        <v>3522</v>
      </c>
      <c r="D191" s="9">
        <v>33.729999999999997</v>
      </c>
      <c r="E191" s="9">
        <f t="shared" si="2"/>
        <v>118797.05999999998</v>
      </c>
    </row>
    <row r="192" spans="1:5" x14ac:dyDescent="0.25">
      <c r="A192" s="2" t="s">
        <v>67</v>
      </c>
      <c r="B192" s="2" t="s">
        <v>68</v>
      </c>
      <c r="C192" s="3">
        <v>1495</v>
      </c>
      <c r="D192" s="4">
        <v>2417.41</v>
      </c>
      <c r="E192" s="4">
        <f t="shared" si="2"/>
        <v>3614027.9499999997</v>
      </c>
    </row>
    <row r="193" spans="1:5" x14ac:dyDescent="0.25">
      <c r="A193" s="7" t="s">
        <v>89</v>
      </c>
      <c r="B193" s="7" t="s">
        <v>90</v>
      </c>
      <c r="C193" s="8">
        <v>2152</v>
      </c>
      <c r="D193" s="9">
        <v>45.03</v>
      </c>
      <c r="E193" s="9">
        <f t="shared" si="2"/>
        <v>96904.56</v>
      </c>
    </row>
    <row r="194" spans="1:5" x14ac:dyDescent="0.25">
      <c r="A194" s="2" t="s">
        <v>45</v>
      </c>
      <c r="B194" s="2" t="s">
        <v>46</v>
      </c>
      <c r="C194" s="3">
        <v>1197</v>
      </c>
      <c r="D194" s="4">
        <v>185.04</v>
      </c>
      <c r="E194" s="4">
        <f t="shared" ref="E194:E201" si="3">C194*D194</f>
        <v>221492.88</v>
      </c>
    </row>
    <row r="195" spans="1:5" x14ac:dyDescent="0.25">
      <c r="A195" s="7" t="s">
        <v>53</v>
      </c>
      <c r="B195" s="7" t="s">
        <v>54</v>
      </c>
      <c r="C195" s="8">
        <v>1074</v>
      </c>
      <c r="D195" s="9">
        <v>148.26</v>
      </c>
      <c r="E195" s="9">
        <f t="shared" si="3"/>
        <v>159231.24</v>
      </c>
    </row>
    <row r="196" spans="1:5" x14ac:dyDescent="0.25">
      <c r="A196" s="2" t="s">
        <v>89</v>
      </c>
      <c r="B196" s="2" t="s">
        <v>90</v>
      </c>
      <c r="C196" s="3">
        <v>3372</v>
      </c>
      <c r="D196" s="4">
        <v>44.91</v>
      </c>
      <c r="E196" s="4">
        <f t="shared" si="3"/>
        <v>151436.51999999999</v>
      </c>
    </row>
    <row r="197" spans="1:5" x14ac:dyDescent="0.25">
      <c r="A197" s="7" t="s">
        <v>53</v>
      </c>
      <c r="B197" s="7" t="s">
        <v>54</v>
      </c>
      <c r="C197" s="8">
        <v>3722</v>
      </c>
      <c r="D197" s="9">
        <v>144.32</v>
      </c>
      <c r="E197" s="9">
        <f t="shared" si="3"/>
        <v>537159.03999999992</v>
      </c>
    </row>
    <row r="198" spans="1:5" x14ac:dyDescent="0.25">
      <c r="A198" s="2" t="s">
        <v>45</v>
      </c>
      <c r="B198" s="2" t="s">
        <v>46</v>
      </c>
      <c r="C198" s="3">
        <v>2056</v>
      </c>
      <c r="D198" s="4">
        <v>180.1</v>
      </c>
      <c r="E198" s="4">
        <f t="shared" si="3"/>
        <v>370285.6</v>
      </c>
    </row>
    <row r="199" spans="1:5" x14ac:dyDescent="0.25">
      <c r="A199" s="7" t="s">
        <v>67</v>
      </c>
      <c r="B199" s="7" t="s">
        <v>68</v>
      </c>
      <c r="C199" s="8">
        <v>4323</v>
      </c>
      <c r="D199" s="9">
        <v>2453.1999999999998</v>
      </c>
      <c r="E199" s="9">
        <f t="shared" si="3"/>
        <v>10605183.6</v>
      </c>
    </row>
    <row r="200" spans="1:5" x14ac:dyDescent="0.25">
      <c r="A200" s="2" t="s">
        <v>53</v>
      </c>
      <c r="B200" s="2" t="s">
        <v>54</v>
      </c>
      <c r="C200" s="3">
        <v>1392</v>
      </c>
      <c r="D200" s="4">
        <v>151.30000000000001</v>
      </c>
      <c r="E200" s="4">
        <f t="shared" si="3"/>
        <v>210609.6</v>
      </c>
    </row>
    <row r="201" spans="1:5" x14ac:dyDescent="0.25">
      <c r="A201" s="7" t="s">
        <v>89</v>
      </c>
      <c r="B201" s="7" t="s">
        <v>90</v>
      </c>
      <c r="C201" s="8">
        <v>608</v>
      </c>
      <c r="D201" s="9">
        <v>45.3</v>
      </c>
      <c r="E201" s="9">
        <f t="shared" si="3"/>
        <v>27542.399999999998</v>
      </c>
    </row>
    <row r="202" spans="1:5" x14ac:dyDescent="0.25">
      <c r="D20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9E83-67E6-472B-B02F-C8A6D2A6E7E7}">
  <sheetPr codeName="Sheet5"/>
  <dimension ref="A1:F201"/>
  <sheetViews>
    <sheetView workbookViewId="0">
      <selection activeCell="C58" sqref="C58"/>
    </sheetView>
  </sheetViews>
  <sheetFormatPr defaultRowHeight="15" x14ac:dyDescent="0.25"/>
  <cols>
    <col min="1" max="1" width="21.5703125" bestFit="1" customWidth="1"/>
    <col min="2" max="2" width="21" customWidth="1"/>
    <col min="3" max="3" width="23" bestFit="1" customWidth="1"/>
    <col min="5" max="5" width="11.28515625" bestFit="1" customWidth="1"/>
    <col min="6" max="6" width="13.85546875" bestFit="1" customWidth="1"/>
  </cols>
  <sheetData>
    <row r="1" spans="1:6" ht="49.5" x14ac:dyDescent="0.25">
      <c r="A1" s="1" t="s">
        <v>2</v>
      </c>
      <c r="B1" s="1" t="s">
        <v>399</v>
      </c>
      <c r="C1" s="1" t="s">
        <v>1</v>
      </c>
      <c r="D1" s="1" t="s">
        <v>8</v>
      </c>
      <c r="E1" s="1" t="s">
        <v>398</v>
      </c>
      <c r="F1" s="1" t="s">
        <v>379</v>
      </c>
    </row>
    <row r="2" spans="1:6" x14ac:dyDescent="0.25">
      <c r="A2" s="2" t="s">
        <v>16</v>
      </c>
      <c r="B2" s="2" t="s">
        <v>400</v>
      </c>
      <c r="C2" s="2" t="s">
        <v>15</v>
      </c>
      <c r="D2" s="3">
        <v>1916</v>
      </c>
      <c r="E2" s="4">
        <v>56.84</v>
      </c>
      <c r="F2" s="4">
        <f t="shared" ref="F2:F65" si="0">D2*E2</f>
        <v>108905.44</v>
      </c>
    </row>
    <row r="3" spans="1:6" x14ac:dyDescent="0.25">
      <c r="A3" s="7" t="s">
        <v>25</v>
      </c>
      <c r="B3" s="2" t="s">
        <v>400</v>
      </c>
      <c r="C3" s="7" t="s">
        <v>24</v>
      </c>
      <c r="D3" s="8">
        <v>2056</v>
      </c>
      <c r="E3" s="9">
        <v>556.04999999999995</v>
      </c>
      <c r="F3" s="9">
        <f t="shared" si="0"/>
        <v>1143238.7999999998</v>
      </c>
    </row>
    <row r="4" spans="1:6" x14ac:dyDescent="0.25">
      <c r="A4" s="2" t="s">
        <v>32</v>
      </c>
      <c r="B4" s="2" t="s">
        <v>403</v>
      </c>
      <c r="C4" s="2" t="s">
        <v>31</v>
      </c>
      <c r="D4" s="3">
        <v>3564</v>
      </c>
      <c r="E4" s="4">
        <v>21.26</v>
      </c>
      <c r="F4" s="4">
        <f t="shared" si="0"/>
        <v>75770.64</v>
      </c>
    </row>
    <row r="5" spans="1:6" x14ac:dyDescent="0.25">
      <c r="A5" s="7" t="s">
        <v>39</v>
      </c>
      <c r="B5" s="7" t="s">
        <v>405</v>
      </c>
      <c r="C5" s="7" t="s">
        <v>38</v>
      </c>
      <c r="D5" s="8">
        <v>1356</v>
      </c>
      <c r="E5" s="9">
        <v>36.36</v>
      </c>
      <c r="F5" s="9">
        <f t="shared" si="0"/>
        <v>49304.159999999996</v>
      </c>
    </row>
    <row r="6" spans="1:6" x14ac:dyDescent="0.25">
      <c r="A6" s="2" t="s">
        <v>47</v>
      </c>
      <c r="B6" s="2" t="s">
        <v>403</v>
      </c>
      <c r="C6" s="2" t="s">
        <v>46</v>
      </c>
      <c r="D6" s="3">
        <v>1584</v>
      </c>
      <c r="E6" s="4">
        <v>182.75</v>
      </c>
      <c r="F6" s="4">
        <f t="shared" si="0"/>
        <v>289476</v>
      </c>
    </row>
    <row r="7" spans="1:6" x14ac:dyDescent="0.25">
      <c r="A7" s="7" t="s">
        <v>55</v>
      </c>
      <c r="B7" s="2" t="s">
        <v>400</v>
      </c>
      <c r="C7" s="7" t="s">
        <v>54</v>
      </c>
      <c r="D7" s="8">
        <v>3873</v>
      </c>
      <c r="E7" s="9">
        <v>153.51</v>
      </c>
      <c r="F7" s="9">
        <f t="shared" si="0"/>
        <v>594544.23</v>
      </c>
    </row>
    <row r="8" spans="1:6" x14ac:dyDescent="0.25">
      <c r="A8" s="2" t="s">
        <v>61</v>
      </c>
      <c r="B8" s="7" t="s">
        <v>405</v>
      </c>
      <c r="C8" s="2" t="s">
        <v>60</v>
      </c>
      <c r="D8" s="3">
        <v>653</v>
      </c>
      <c r="E8" s="4">
        <v>62.71</v>
      </c>
      <c r="F8" s="4">
        <f t="shared" si="0"/>
        <v>40949.629999999997</v>
      </c>
    </row>
    <row r="9" spans="1:6" x14ac:dyDescent="0.25">
      <c r="A9" s="7" t="s">
        <v>39</v>
      </c>
      <c r="B9" s="7" t="s">
        <v>405</v>
      </c>
      <c r="C9" s="7" t="s">
        <v>38</v>
      </c>
      <c r="D9" s="8">
        <v>1774</v>
      </c>
      <c r="E9" s="9">
        <v>34.79</v>
      </c>
      <c r="F9" s="9">
        <f t="shared" si="0"/>
        <v>61717.46</v>
      </c>
    </row>
    <row r="10" spans="1:6" x14ac:dyDescent="0.25">
      <c r="A10" s="2" t="s">
        <v>69</v>
      </c>
      <c r="B10" s="2" t="s">
        <v>400</v>
      </c>
      <c r="C10" s="2" t="s">
        <v>68</v>
      </c>
      <c r="D10" s="3">
        <v>2856</v>
      </c>
      <c r="E10" s="4">
        <v>2447.6999999999998</v>
      </c>
      <c r="F10" s="4">
        <f t="shared" si="0"/>
        <v>6990631.1999999993</v>
      </c>
    </row>
    <row r="11" spans="1:6" x14ac:dyDescent="0.25">
      <c r="A11" s="7" t="s">
        <v>61</v>
      </c>
      <c r="B11" s="2" t="s">
        <v>403</v>
      </c>
      <c r="C11" s="7" t="s">
        <v>60</v>
      </c>
      <c r="D11" s="8">
        <v>3383</v>
      </c>
      <c r="E11" s="9">
        <v>65.72</v>
      </c>
      <c r="F11" s="9">
        <f t="shared" si="0"/>
        <v>222330.76</v>
      </c>
    </row>
    <row r="12" spans="1:6" x14ac:dyDescent="0.25">
      <c r="A12" s="2" t="s">
        <v>25</v>
      </c>
      <c r="B12" s="2" t="s">
        <v>400</v>
      </c>
      <c r="C12" s="2" t="s">
        <v>24</v>
      </c>
      <c r="D12" s="3">
        <v>3084</v>
      </c>
      <c r="E12" s="4">
        <v>550.58000000000004</v>
      </c>
      <c r="F12" s="4">
        <f t="shared" si="0"/>
        <v>1697988.7200000002</v>
      </c>
    </row>
    <row r="13" spans="1:6" x14ac:dyDescent="0.25">
      <c r="A13" s="7" t="s">
        <v>61</v>
      </c>
      <c r="B13" s="2" t="s">
        <v>403</v>
      </c>
      <c r="C13" s="7" t="s">
        <v>60</v>
      </c>
      <c r="D13" s="8">
        <v>3826</v>
      </c>
      <c r="E13" s="9">
        <v>67.47</v>
      </c>
      <c r="F13" s="9">
        <f t="shared" si="0"/>
        <v>258140.22</v>
      </c>
    </row>
    <row r="14" spans="1:6" x14ac:dyDescent="0.25">
      <c r="A14" s="2" t="s">
        <v>32</v>
      </c>
      <c r="B14" s="2" t="s">
        <v>403</v>
      </c>
      <c r="C14" s="2" t="s">
        <v>31</v>
      </c>
      <c r="D14" s="3">
        <v>3910</v>
      </c>
      <c r="E14" s="4">
        <v>22.84</v>
      </c>
      <c r="F14" s="4">
        <f t="shared" si="0"/>
        <v>89304.4</v>
      </c>
    </row>
    <row r="15" spans="1:6" x14ac:dyDescent="0.25">
      <c r="A15" s="7" t="s">
        <v>32</v>
      </c>
      <c r="B15" s="2" t="s">
        <v>402</v>
      </c>
      <c r="C15" s="7" t="s">
        <v>31</v>
      </c>
      <c r="D15" s="8">
        <v>1092</v>
      </c>
      <c r="E15" s="9">
        <v>22.34</v>
      </c>
      <c r="F15" s="9">
        <f t="shared" si="0"/>
        <v>24395.279999999999</v>
      </c>
    </row>
    <row r="16" spans="1:6" x14ac:dyDescent="0.25">
      <c r="A16" s="2" t="s">
        <v>25</v>
      </c>
      <c r="B16" s="2" t="s">
        <v>400</v>
      </c>
      <c r="C16" s="2" t="s">
        <v>24</v>
      </c>
      <c r="D16" s="3">
        <v>4455</v>
      </c>
      <c r="E16" s="4">
        <v>532.23</v>
      </c>
      <c r="F16" s="4">
        <f t="shared" si="0"/>
        <v>2371084.65</v>
      </c>
    </row>
    <row r="17" spans="1:6" x14ac:dyDescent="0.25">
      <c r="A17" s="7" t="s">
        <v>91</v>
      </c>
      <c r="B17" s="2" t="s">
        <v>400</v>
      </c>
      <c r="C17" s="7" t="s">
        <v>90</v>
      </c>
      <c r="D17" s="8">
        <v>4331</v>
      </c>
      <c r="E17" s="9">
        <v>46.59</v>
      </c>
      <c r="F17" s="9">
        <f t="shared" si="0"/>
        <v>201781.29</v>
      </c>
    </row>
    <row r="18" spans="1:6" x14ac:dyDescent="0.25">
      <c r="A18" s="2" t="s">
        <v>61</v>
      </c>
      <c r="B18" s="2" t="s">
        <v>401</v>
      </c>
      <c r="C18" s="2" t="s">
        <v>60</v>
      </c>
      <c r="D18" s="3">
        <v>435</v>
      </c>
      <c r="E18" s="4">
        <v>64.73</v>
      </c>
      <c r="F18" s="4">
        <f t="shared" si="0"/>
        <v>28157.550000000003</v>
      </c>
    </row>
    <row r="19" spans="1:6" x14ac:dyDescent="0.25">
      <c r="A19" s="7" t="s">
        <v>69</v>
      </c>
      <c r="B19" s="2" t="s">
        <v>402</v>
      </c>
      <c r="C19" s="7" t="s">
        <v>68</v>
      </c>
      <c r="D19" s="8">
        <v>888</v>
      </c>
      <c r="E19" s="9">
        <v>2459.4499999999998</v>
      </c>
      <c r="F19" s="9">
        <f t="shared" si="0"/>
        <v>2183991.5999999996</v>
      </c>
    </row>
    <row r="20" spans="1:6" x14ac:dyDescent="0.25">
      <c r="A20" s="2" t="s">
        <v>47</v>
      </c>
      <c r="B20" s="2" t="s">
        <v>400</v>
      </c>
      <c r="C20" s="2" t="s">
        <v>46</v>
      </c>
      <c r="D20" s="3">
        <v>2078</v>
      </c>
      <c r="E20" s="4">
        <v>179.56</v>
      </c>
      <c r="F20" s="4">
        <f t="shared" si="0"/>
        <v>373125.68</v>
      </c>
    </row>
    <row r="21" spans="1:6" x14ac:dyDescent="0.25">
      <c r="A21" s="7" t="s">
        <v>32</v>
      </c>
      <c r="B21" s="2" t="s">
        <v>403</v>
      </c>
      <c r="C21" s="7" t="s">
        <v>31</v>
      </c>
      <c r="D21" s="8">
        <v>415</v>
      </c>
      <c r="E21" s="9">
        <v>21.51</v>
      </c>
      <c r="F21" s="9">
        <f t="shared" si="0"/>
        <v>8926.6500000000015</v>
      </c>
    </row>
    <row r="22" spans="1:6" x14ac:dyDescent="0.25">
      <c r="A22" s="2" t="s">
        <v>91</v>
      </c>
      <c r="B22" s="2" t="s">
        <v>400</v>
      </c>
      <c r="C22" s="2" t="s">
        <v>90</v>
      </c>
      <c r="D22" s="3">
        <v>554</v>
      </c>
      <c r="E22" s="4">
        <v>44.83</v>
      </c>
      <c r="F22" s="4">
        <f t="shared" si="0"/>
        <v>24835.82</v>
      </c>
    </row>
    <row r="23" spans="1:6" x14ac:dyDescent="0.25">
      <c r="A23" s="7" t="s">
        <v>108</v>
      </c>
      <c r="B23" s="2" t="s">
        <v>403</v>
      </c>
      <c r="C23" s="7" t="s">
        <v>107</v>
      </c>
      <c r="D23" s="8">
        <v>121</v>
      </c>
      <c r="E23" s="9">
        <v>8.42</v>
      </c>
      <c r="F23" s="9">
        <f t="shared" si="0"/>
        <v>1018.8199999999999</v>
      </c>
    </row>
    <row r="24" spans="1:6" x14ac:dyDescent="0.25">
      <c r="A24" s="2" t="s">
        <v>47</v>
      </c>
      <c r="B24" s="2" t="s">
        <v>400</v>
      </c>
      <c r="C24" s="2" t="s">
        <v>46</v>
      </c>
      <c r="D24" s="3">
        <v>1445</v>
      </c>
      <c r="E24" s="4">
        <v>180.24</v>
      </c>
      <c r="F24" s="4">
        <f t="shared" si="0"/>
        <v>260446.80000000002</v>
      </c>
    </row>
    <row r="25" spans="1:6" x14ac:dyDescent="0.25">
      <c r="A25" s="7" t="s">
        <v>55</v>
      </c>
      <c r="B25" s="2" t="s">
        <v>400</v>
      </c>
      <c r="C25" s="7" t="s">
        <v>54</v>
      </c>
      <c r="D25" s="8">
        <v>2466</v>
      </c>
      <c r="E25" s="9">
        <v>145.63999999999999</v>
      </c>
      <c r="F25" s="9">
        <f t="shared" si="0"/>
        <v>359148.24</v>
      </c>
    </row>
    <row r="26" spans="1:6" x14ac:dyDescent="0.25">
      <c r="A26" s="2" t="s">
        <v>25</v>
      </c>
      <c r="B26" s="2" t="s">
        <v>403</v>
      </c>
      <c r="C26" s="2" t="s">
        <v>24</v>
      </c>
      <c r="D26" s="3">
        <v>2932</v>
      </c>
      <c r="E26" s="4">
        <v>564.53</v>
      </c>
      <c r="F26" s="4">
        <f t="shared" si="0"/>
        <v>1655201.96</v>
      </c>
    </row>
    <row r="27" spans="1:6" x14ac:dyDescent="0.25">
      <c r="A27" s="7" t="s">
        <v>61</v>
      </c>
      <c r="B27" s="2" t="s">
        <v>403</v>
      </c>
      <c r="C27" s="7" t="s">
        <v>60</v>
      </c>
      <c r="D27" s="8">
        <v>546</v>
      </c>
      <c r="E27" s="9">
        <v>64.349999999999994</v>
      </c>
      <c r="F27" s="9">
        <f t="shared" si="0"/>
        <v>35135.1</v>
      </c>
    </row>
    <row r="28" spans="1:6" x14ac:dyDescent="0.25">
      <c r="A28" s="2" t="s">
        <v>91</v>
      </c>
      <c r="B28" s="2" t="s">
        <v>400</v>
      </c>
      <c r="C28" s="2" t="s">
        <v>90</v>
      </c>
      <c r="D28" s="3">
        <v>815</v>
      </c>
      <c r="E28" s="4">
        <v>43.89</v>
      </c>
      <c r="F28" s="4">
        <f t="shared" si="0"/>
        <v>35770.35</v>
      </c>
    </row>
    <row r="29" spans="1:6" x14ac:dyDescent="0.25">
      <c r="A29" s="7" t="s">
        <v>25</v>
      </c>
      <c r="B29" s="7" t="s">
        <v>405</v>
      </c>
      <c r="C29" s="7" t="s">
        <v>24</v>
      </c>
      <c r="D29" s="8">
        <v>3578</v>
      </c>
      <c r="E29" s="9">
        <v>549.16</v>
      </c>
      <c r="F29" s="9">
        <f t="shared" si="0"/>
        <v>1964894.48</v>
      </c>
    </row>
    <row r="30" spans="1:6" x14ac:dyDescent="0.25">
      <c r="A30" s="2" t="s">
        <v>16</v>
      </c>
      <c r="B30" s="2" t="s">
        <v>400</v>
      </c>
      <c r="C30" s="2" t="s">
        <v>15</v>
      </c>
      <c r="D30" s="3">
        <v>1405</v>
      </c>
      <c r="E30" s="4">
        <v>57.17</v>
      </c>
      <c r="F30" s="4">
        <f t="shared" si="0"/>
        <v>80323.850000000006</v>
      </c>
    </row>
    <row r="31" spans="1:6" x14ac:dyDescent="0.25">
      <c r="A31" s="7" t="s">
        <v>16</v>
      </c>
      <c r="B31" s="2" t="s">
        <v>400</v>
      </c>
      <c r="C31" s="7" t="s">
        <v>15</v>
      </c>
      <c r="D31" s="8">
        <v>2441</v>
      </c>
      <c r="E31" s="9">
        <v>55.07</v>
      </c>
      <c r="F31" s="9">
        <f t="shared" si="0"/>
        <v>134425.87</v>
      </c>
    </row>
    <row r="32" spans="1:6" x14ac:dyDescent="0.25">
      <c r="A32" s="2" t="s">
        <v>55</v>
      </c>
      <c r="B32" s="2" t="s">
        <v>402</v>
      </c>
      <c r="C32" s="2" t="s">
        <v>54</v>
      </c>
      <c r="D32" s="3">
        <v>4832</v>
      </c>
      <c r="E32" s="4">
        <v>146.52000000000001</v>
      </c>
      <c r="F32" s="4">
        <f t="shared" si="0"/>
        <v>707984.64</v>
      </c>
    </row>
    <row r="33" spans="1:6" x14ac:dyDescent="0.25">
      <c r="A33" s="7" t="s">
        <v>55</v>
      </c>
      <c r="B33" s="2" t="s">
        <v>401</v>
      </c>
      <c r="C33" s="7" t="s">
        <v>54</v>
      </c>
      <c r="D33" s="8">
        <v>3001</v>
      </c>
      <c r="E33" s="9">
        <v>151.38</v>
      </c>
      <c r="F33" s="9">
        <f t="shared" si="0"/>
        <v>454291.38</v>
      </c>
    </row>
    <row r="34" spans="1:6" x14ac:dyDescent="0.25">
      <c r="A34" s="2" t="s">
        <v>55</v>
      </c>
      <c r="B34" s="7" t="s">
        <v>405</v>
      </c>
      <c r="C34" s="2" t="s">
        <v>54</v>
      </c>
      <c r="D34" s="3">
        <v>4428</v>
      </c>
      <c r="E34" s="4">
        <v>149.81</v>
      </c>
      <c r="F34" s="4">
        <f t="shared" si="0"/>
        <v>663358.68000000005</v>
      </c>
    </row>
    <row r="35" spans="1:6" x14ac:dyDescent="0.25">
      <c r="A35" s="7" t="s">
        <v>32</v>
      </c>
      <c r="B35" s="7" t="s">
        <v>405</v>
      </c>
      <c r="C35" s="7" t="s">
        <v>31</v>
      </c>
      <c r="D35" s="8">
        <v>3691</v>
      </c>
      <c r="E35" s="9">
        <v>21.74</v>
      </c>
      <c r="F35" s="9">
        <f t="shared" si="0"/>
        <v>80242.34</v>
      </c>
    </row>
    <row r="36" spans="1:6" x14ac:dyDescent="0.25">
      <c r="A36" s="2" t="s">
        <v>25</v>
      </c>
      <c r="B36" s="2" t="s">
        <v>400</v>
      </c>
      <c r="C36" s="2" t="s">
        <v>24</v>
      </c>
      <c r="D36" s="3">
        <v>3193</v>
      </c>
      <c r="E36" s="4">
        <v>541.19000000000005</v>
      </c>
      <c r="F36" s="4">
        <f t="shared" si="0"/>
        <v>1728019.6700000002</v>
      </c>
    </row>
    <row r="37" spans="1:6" x14ac:dyDescent="0.25">
      <c r="A37" s="7" t="s">
        <v>39</v>
      </c>
      <c r="B37" s="7" t="s">
        <v>405</v>
      </c>
      <c r="C37" s="7" t="s">
        <v>38</v>
      </c>
      <c r="D37" s="8">
        <v>328</v>
      </c>
      <c r="E37" s="9">
        <v>36.22</v>
      </c>
      <c r="F37" s="9">
        <f t="shared" si="0"/>
        <v>11880.16</v>
      </c>
    </row>
    <row r="38" spans="1:6" x14ac:dyDescent="0.25">
      <c r="A38" s="2" t="s">
        <v>108</v>
      </c>
      <c r="B38" s="7" t="s">
        <v>405</v>
      </c>
      <c r="C38" s="2" t="s">
        <v>107</v>
      </c>
      <c r="D38" s="3">
        <v>3658</v>
      </c>
      <c r="E38" s="4">
        <v>8.84</v>
      </c>
      <c r="F38" s="4">
        <f t="shared" si="0"/>
        <v>32336.720000000001</v>
      </c>
    </row>
    <row r="39" spans="1:6" x14ac:dyDescent="0.25">
      <c r="A39" s="7" t="s">
        <v>39</v>
      </c>
      <c r="B39" s="2" t="s">
        <v>403</v>
      </c>
      <c r="C39" s="7" t="s">
        <v>38</v>
      </c>
      <c r="D39" s="8">
        <v>1346</v>
      </c>
      <c r="E39" s="9">
        <v>34.57</v>
      </c>
      <c r="F39" s="9">
        <f t="shared" si="0"/>
        <v>46531.22</v>
      </c>
    </row>
    <row r="40" spans="1:6" x14ac:dyDescent="0.25">
      <c r="A40" s="2" t="s">
        <v>69</v>
      </c>
      <c r="B40" s="2" t="s">
        <v>402</v>
      </c>
      <c r="C40" s="2" t="s">
        <v>68</v>
      </c>
      <c r="D40" s="3">
        <v>3235</v>
      </c>
      <c r="E40" s="4">
        <v>2477.46</v>
      </c>
      <c r="F40" s="4">
        <f t="shared" si="0"/>
        <v>8014583.1000000006</v>
      </c>
    </row>
    <row r="41" spans="1:6" x14ac:dyDescent="0.25">
      <c r="A41" s="7" t="s">
        <v>25</v>
      </c>
      <c r="B41" s="2" t="s">
        <v>401</v>
      </c>
      <c r="C41" s="7" t="s">
        <v>24</v>
      </c>
      <c r="D41" s="8">
        <v>1945</v>
      </c>
      <c r="E41" s="9">
        <v>549.5</v>
      </c>
      <c r="F41" s="9">
        <f t="shared" si="0"/>
        <v>1068777.5</v>
      </c>
    </row>
    <row r="42" spans="1:6" x14ac:dyDescent="0.25">
      <c r="A42" s="2" t="s">
        <v>61</v>
      </c>
      <c r="B42" s="2" t="s">
        <v>403</v>
      </c>
      <c r="C42" s="2" t="s">
        <v>60</v>
      </c>
      <c r="D42" s="3">
        <v>2425</v>
      </c>
      <c r="E42" s="4">
        <v>64.150000000000006</v>
      </c>
      <c r="F42" s="4">
        <f t="shared" si="0"/>
        <v>155563.75</v>
      </c>
    </row>
    <row r="43" spans="1:6" x14ac:dyDescent="0.25">
      <c r="A43" s="7" t="s">
        <v>16</v>
      </c>
      <c r="B43" s="2" t="s">
        <v>400</v>
      </c>
      <c r="C43" s="7" t="s">
        <v>15</v>
      </c>
      <c r="D43" s="8">
        <v>3554</v>
      </c>
      <c r="E43" s="9">
        <v>55.71</v>
      </c>
      <c r="F43" s="9">
        <f t="shared" si="0"/>
        <v>197993.34</v>
      </c>
    </row>
    <row r="44" spans="1:6" x14ac:dyDescent="0.25">
      <c r="A44" s="2" t="s">
        <v>32</v>
      </c>
      <c r="B44" s="2" t="s">
        <v>403</v>
      </c>
      <c r="C44" s="2" t="s">
        <v>31</v>
      </c>
      <c r="D44" s="3">
        <v>2809</v>
      </c>
      <c r="E44" s="4">
        <v>22.53</v>
      </c>
      <c r="F44" s="4">
        <f t="shared" si="0"/>
        <v>63286.770000000004</v>
      </c>
    </row>
    <row r="45" spans="1:6" x14ac:dyDescent="0.25">
      <c r="A45" s="7" t="s">
        <v>47</v>
      </c>
      <c r="B45" s="2" t="s">
        <v>403</v>
      </c>
      <c r="C45" s="7" t="s">
        <v>46</v>
      </c>
      <c r="D45" s="8">
        <v>4722</v>
      </c>
      <c r="E45" s="9">
        <v>180.72</v>
      </c>
      <c r="F45" s="9">
        <f t="shared" si="0"/>
        <v>853359.84</v>
      </c>
    </row>
    <row r="46" spans="1:6" x14ac:dyDescent="0.25">
      <c r="A46" s="2" t="s">
        <v>91</v>
      </c>
      <c r="B46" s="2" t="s">
        <v>400</v>
      </c>
      <c r="C46" s="2" t="s">
        <v>90</v>
      </c>
      <c r="D46" s="3">
        <v>2045</v>
      </c>
      <c r="E46" s="4">
        <v>44.94</v>
      </c>
      <c r="F46" s="4">
        <f t="shared" si="0"/>
        <v>91902.299999999988</v>
      </c>
    </row>
    <row r="47" spans="1:6" x14ac:dyDescent="0.25">
      <c r="A47" s="7" t="s">
        <v>32</v>
      </c>
      <c r="B47" s="2" t="s">
        <v>400</v>
      </c>
      <c r="C47" s="7" t="s">
        <v>31</v>
      </c>
      <c r="D47" s="8">
        <v>517</v>
      </c>
      <c r="E47" s="9">
        <v>22.19</v>
      </c>
      <c r="F47" s="9">
        <f t="shared" si="0"/>
        <v>11472.230000000001</v>
      </c>
    </row>
    <row r="48" spans="1:6" x14ac:dyDescent="0.25">
      <c r="A48" s="2" t="s">
        <v>16</v>
      </c>
      <c r="B48" s="2" t="s">
        <v>403</v>
      </c>
      <c r="C48" s="2" t="s">
        <v>15</v>
      </c>
      <c r="D48" s="3">
        <v>3344</v>
      </c>
      <c r="E48" s="4">
        <v>56.8</v>
      </c>
      <c r="F48" s="4">
        <f t="shared" si="0"/>
        <v>189939.19999999998</v>
      </c>
    </row>
    <row r="49" spans="1:6" x14ac:dyDescent="0.25">
      <c r="A49" s="7" t="s">
        <v>91</v>
      </c>
      <c r="B49" s="7" t="s">
        <v>405</v>
      </c>
      <c r="C49" s="7" t="s">
        <v>90</v>
      </c>
      <c r="D49" s="8">
        <v>4104</v>
      </c>
      <c r="E49" s="9">
        <v>44.39</v>
      </c>
      <c r="F49" s="9">
        <f t="shared" si="0"/>
        <v>182176.56</v>
      </c>
    </row>
    <row r="50" spans="1:6" x14ac:dyDescent="0.25">
      <c r="A50" s="2" t="s">
        <v>16</v>
      </c>
      <c r="B50" s="2" t="s">
        <v>400</v>
      </c>
      <c r="C50" s="2" t="s">
        <v>15</v>
      </c>
      <c r="D50" s="3">
        <v>2157</v>
      </c>
      <c r="E50" s="4">
        <v>55.71</v>
      </c>
      <c r="F50" s="4">
        <f t="shared" si="0"/>
        <v>120166.47</v>
      </c>
    </row>
    <row r="51" spans="1:6" x14ac:dyDescent="0.25">
      <c r="A51" s="7" t="s">
        <v>91</v>
      </c>
      <c r="B51" s="2" t="s">
        <v>400</v>
      </c>
      <c r="C51" s="7" t="s">
        <v>90</v>
      </c>
      <c r="D51" s="8">
        <v>2174</v>
      </c>
      <c r="E51" s="9">
        <v>44.72</v>
      </c>
      <c r="F51" s="9">
        <f t="shared" si="0"/>
        <v>97221.28</v>
      </c>
    </row>
    <row r="52" spans="1:6" x14ac:dyDescent="0.25">
      <c r="A52" s="2" t="s">
        <v>55</v>
      </c>
      <c r="B52" s="7" t="s">
        <v>405</v>
      </c>
      <c r="C52" s="2" t="s">
        <v>54</v>
      </c>
      <c r="D52" s="3">
        <v>4928</v>
      </c>
      <c r="E52" s="4">
        <v>150.02000000000001</v>
      </c>
      <c r="F52" s="4">
        <f t="shared" si="0"/>
        <v>739298.56</v>
      </c>
    </row>
    <row r="53" spans="1:6" x14ac:dyDescent="0.25">
      <c r="A53" s="7" t="s">
        <v>61</v>
      </c>
      <c r="B53" s="2" t="s">
        <v>401</v>
      </c>
      <c r="C53" s="7" t="s">
        <v>60</v>
      </c>
      <c r="D53" s="8">
        <v>1562</v>
      </c>
      <c r="E53" s="9">
        <v>64.8</v>
      </c>
      <c r="F53" s="9">
        <f t="shared" si="0"/>
        <v>101217.59999999999</v>
      </c>
    </row>
    <row r="54" spans="1:6" x14ac:dyDescent="0.25">
      <c r="A54" s="2" t="s">
        <v>69</v>
      </c>
      <c r="B54" s="2" t="s">
        <v>400</v>
      </c>
      <c r="C54" s="2" t="s">
        <v>68</v>
      </c>
      <c r="D54" s="3">
        <v>132</v>
      </c>
      <c r="E54" s="4">
        <v>2436.3200000000002</v>
      </c>
      <c r="F54" s="4">
        <f t="shared" si="0"/>
        <v>321594.24000000005</v>
      </c>
    </row>
    <row r="55" spans="1:6" x14ac:dyDescent="0.25">
      <c r="A55" s="7" t="s">
        <v>69</v>
      </c>
      <c r="B55" s="2" t="s">
        <v>401</v>
      </c>
      <c r="C55" s="7" t="s">
        <v>68</v>
      </c>
      <c r="D55" s="8">
        <v>3473</v>
      </c>
      <c r="E55" s="9">
        <v>2429.69</v>
      </c>
      <c r="F55" s="9">
        <f t="shared" si="0"/>
        <v>8438313.370000001</v>
      </c>
    </row>
    <row r="56" spans="1:6" x14ac:dyDescent="0.25">
      <c r="A56" s="2" t="s">
        <v>16</v>
      </c>
      <c r="B56" s="2" t="s">
        <v>403</v>
      </c>
      <c r="C56" s="2" t="s">
        <v>15</v>
      </c>
      <c r="D56" s="3">
        <v>3102</v>
      </c>
      <c r="E56" s="4">
        <v>56.61</v>
      </c>
      <c r="F56" s="4">
        <f t="shared" si="0"/>
        <v>175604.22</v>
      </c>
    </row>
    <row r="57" spans="1:6" x14ac:dyDescent="0.25">
      <c r="A57" s="7" t="s">
        <v>47</v>
      </c>
      <c r="B57" s="2" t="s">
        <v>403</v>
      </c>
      <c r="C57" s="7" t="s">
        <v>46</v>
      </c>
      <c r="D57" s="8">
        <v>1183</v>
      </c>
      <c r="E57" s="9">
        <v>183.02</v>
      </c>
      <c r="F57" s="9">
        <f t="shared" si="0"/>
        <v>216512.66</v>
      </c>
    </row>
    <row r="58" spans="1:6" x14ac:dyDescent="0.25">
      <c r="A58" s="2" t="s">
        <v>16</v>
      </c>
      <c r="B58" s="2" t="s">
        <v>402</v>
      </c>
      <c r="C58" s="2" t="s">
        <v>15</v>
      </c>
      <c r="D58" s="3">
        <v>4355</v>
      </c>
      <c r="E58" s="4">
        <v>56.52</v>
      </c>
      <c r="F58" s="4">
        <f t="shared" si="0"/>
        <v>246144.6</v>
      </c>
    </row>
    <row r="59" spans="1:6" x14ac:dyDescent="0.25">
      <c r="A59" s="7" t="s">
        <v>108</v>
      </c>
      <c r="B59" s="2" t="s">
        <v>402</v>
      </c>
      <c r="C59" s="7" t="s">
        <v>107</v>
      </c>
      <c r="D59" s="8">
        <v>2727</v>
      </c>
      <c r="E59" s="9">
        <v>8.4700000000000006</v>
      </c>
      <c r="F59" s="9">
        <f t="shared" si="0"/>
        <v>23097.690000000002</v>
      </c>
    </row>
    <row r="60" spans="1:6" x14ac:dyDescent="0.25">
      <c r="A60" s="2" t="s">
        <v>61</v>
      </c>
      <c r="B60" s="7" t="s">
        <v>405</v>
      </c>
      <c r="C60" s="2" t="s">
        <v>60</v>
      </c>
      <c r="D60" s="3">
        <v>4863</v>
      </c>
      <c r="E60" s="4">
        <v>65.069999999999993</v>
      </c>
      <c r="F60" s="4">
        <f t="shared" si="0"/>
        <v>316435.40999999997</v>
      </c>
    </row>
    <row r="61" spans="1:6" x14ac:dyDescent="0.25">
      <c r="A61" s="7" t="s">
        <v>16</v>
      </c>
      <c r="B61" s="2" t="s">
        <v>403</v>
      </c>
      <c r="C61" s="7" t="s">
        <v>15</v>
      </c>
      <c r="D61" s="8">
        <v>1916</v>
      </c>
      <c r="E61" s="9">
        <v>54.23</v>
      </c>
      <c r="F61" s="9">
        <f t="shared" si="0"/>
        <v>103904.68</v>
      </c>
    </row>
    <row r="62" spans="1:6" x14ac:dyDescent="0.25">
      <c r="A62" s="2" t="s">
        <v>55</v>
      </c>
      <c r="B62" s="2" t="s">
        <v>403</v>
      </c>
      <c r="C62" s="2" t="s">
        <v>54</v>
      </c>
      <c r="D62" s="3">
        <v>3048</v>
      </c>
      <c r="E62" s="4">
        <v>144.41999999999999</v>
      </c>
      <c r="F62" s="4">
        <f t="shared" si="0"/>
        <v>440192.16</v>
      </c>
    </row>
    <row r="63" spans="1:6" x14ac:dyDescent="0.25">
      <c r="A63" s="7" t="s">
        <v>25</v>
      </c>
      <c r="B63" s="7" t="s">
        <v>405</v>
      </c>
      <c r="C63" s="7" t="s">
        <v>24</v>
      </c>
      <c r="D63" s="8">
        <v>1493</v>
      </c>
      <c r="E63" s="9">
        <v>533.08000000000004</v>
      </c>
      <c r="F63" s="9">
        <f t="shared" si="0"/>
        <v>795888.44000000006</v>
      </c>
    </row>
    <row r="64" spans="1:6" x14ac:dyDescent="0.25">
      <c r="A64" s="2" t="s">
        <v>39</v>
      </c>
      <c r="B64" s="7" t="s">
        <v>405</v>
      </c>
      <c r="C64" s="2" t="s">
        <v>38</v>
      </c>
      <c r="D64" s="3">
        <v>1330</v>
      </c>
      <c r="E64" s="4">
        <v>34.94</v>
      </c>
      <c r="F64" s="4">
        <f t="shared" si="0"/>
        <v>46470.2</v>
      </c>
    </row>
    <row r="65" spans="1:6" x14ac:dyDescent="0.25">
      <c r="A65" s="7" t="s">
        <v>69</v>
      </c>
      <c r="B65" s="2" t="s">
        <v>402</v>
      </c>
      <c r="C65" s="7" t="s">
        <v>68</v>
      </c>
      <c r="D65" s="8">
        <v>4457</v>
      </c>
      <c r="E65" s="9">
        <v>2496.77</v>
      </c>
      <c r="F65" s="9">
        <f t="shared" si="0"/>
        <v>11128103.890000001</v>
      </c>
    </row>
    <row r="66" spans="1:6" x14ac:dyDescent="0.25">
      <c r="A66" s="2" t="s">
        <v>32</v>
      </c>
      <c r="B66" s="2" t="s">
        <v>401</v>
      </c>
      <c r="C66" s="2" t="s">
        <v>31</v>
      </c>
      <c r="D66" s="3">
        <v>2399</v>
      </c>
      <c r="E66" s="4">
        <v>21.17</v>
      </c>
      <c r="F66" s="4">
        <f t="shared" ref="F66:F129" si="1">D66*E66</f>
        <v>50786.83</v>
      </c>
    </row>
    <row r="67" spans="1:6" x14ac:dyDescent="0.25">
      <c r="A67" s="7" t="s">
        <v>39</v>
      </c>
      <c r="B67" s="2" t="s">
        <v>401</v>
      </c>
      <c r="C67" s="7" t="s">
        <v>38</v>
      </c>
      <c r="D67" s="8">
        <v>4012</v>
      </c>
      <c r="E67" s="9">
        <v>35.630000000000003</v>
      </c>
      <c r="F67" s="9">
        <f t="shared" si="1"/>
        <v>142947.56</v>
      </c>
    </row>
    <row r="68" spans="1:6" x14ac:dyDescent="0.25">
      <c r="A68" s="2" t="s">
        <v>91</v>
      </c>
      <c r="B68" s="2" t="s">
        <v>400</v>
      </c>
      <c r="C68" s="2" t="s">
        <v>90</v>
      </c>
      <c r="D68" s="3">
        <v>889</v>
      </c>
      <c r="E68" s="4">
        <v>43.72</v>
      </c>
      <c r="F68" s="4">
        <f t="shared" si="1"/>
        <v>38867.08</v>
      </c>
    </row>
    <row r="69" spans="1:6" x14ac:dyDescent="0.25">
      <c r="A69" s="7" t="s">
        <v>91</v>
      </c>
      <c r="B69" s="2" t="s">
        <v>401</v>
      </c>
      <c r="C69" s="7" t="s">
        <v>90</v>
      </c>
      <c r="D69" s="8">
        <v>3207</v>
      </c>
      <c r="E69" s="9">
        <v>46.08</v>
      </c>
      <c r="F69" s="9">
        <f t="shared" si="1"/>
        <v>147778.56</v>
      </c>
    </row>
    <row r="70" spans="1:6" x14ac:dyDescent="0.25">
      <c r="A70" s="2" t="s">
        <v>39</v>
      </c>
      <c r="B70" s="7" t="s">
        <v>405</v>
      </c>
      <c r="C70" s="2" t="s">
        <v>38</v>
      </c>
      <c r="D70" s="3">
        <v>3054</v>
      </c>
      <c r="E70" s="4">
        <v>36.18</v>
      </c>
      <c r="F70" s="4">
        <f t="shared" si="1"/>
        <v>110493.72</v>
      </c>
    </row>
    <row r="71" spans="1:6" x14ac:dyDescent="0.25">
      <c r="A71" s="7" t="s">
        <v>47</v>
      </c>
      <c r="B71" s="2" t="s">
        <v>402</v>
      </c>
      <c r="C71" s="7" t="s">
        <v>46</v>
      </c>
      <c r="D71" s="8">
        <v>1208</v>
      </c>
      <c r="E71" s="9">
        <v>185.16</v>
      </c>
      <c r="F71" s="9">
        <f t="shared" si="1"/>
        <v>223673.28</v>
      </c>
    </row>
    <row r="72" spans="1:6" x14ac:dyDescent="0.25">
      <c r="A72" s="2" t="s">
        <v>39</v>
      </c>
      <c r="B72" s="2" t="s">
        <v>402</v>
      </c>
      <c r="C72" s="2" t="s">
        <v>38</v>
      </c>
      <c r="D72" s="3">
        <v>965</v>
      </c>
      <c r="E72" s="4">
        <v>34.54</v>
      </c>
      <c r="F72" s="4">
        <f t="shared" si="1"/>
        <v>33331.1</v>
      </c>
    </row>
    <row r="73" spans="1:6" x14ac:dyDescent="0.25">
      <c r="A73" s="7" t="s">
        <v>39</v>
      </c>
      <c r="B73" s="7" t="s">
        <v>405</v>
      </c>
      <c r="C73" s="7" t="s">
        <v>38</v>
      </c>
      <c r="D73" s="8">
        <v>4531</v>
      </c>
      <c r="E73" s="9">
        <v>35.369999999999997</v>
      </c>
      <c r="F73" s="9">
        <f t="shared" si="1"/>
        <v>160261.47</v>
      </c>
    </row>
    <row r="74" spans="1:6" x14ac:dyDescent="0.25">
      <c r="A74" s="2" t="s">
        <v>16</v>
      </c>
      <c r="B74" s="2" t="s">
        <v>402</v>
      </c>
      <c r="C74" s="2" t="s">
        <v>15</v>
      </c>
      <c r="D74" s="3">
        <v>1244</v>
      </c>
      <c r="E74" s="4">
        <v>53.66</v>
      </c>
      <c r="F74" s="4">
        <f t="shared" si="1"/>
        <v>66753.039999999994</v>
      </c>
    </row>
    <row r="75" spans="1:6" x14ac:dyDescent="0.25">
      <c r="A75" s="7" t="s">
        <v>47</v>
      </c>
      <c r="B75" s="7" t="s">
        <v>405</v>
      </c>
      <c r="C75" s="7" t="s">
        <v>46</v>
      </c>
      <c r="D75" s="8">
        <v>3963</v>
      </c>
      <c r="E75" s="9">
        <v>177.62</v>
      </c>
      <c r="F75" s="9">
        <f t="shared" si="1"/>
        <v>703908.06</v>
      </c>
    </row>
    <row r="76" spans="1:6" x14ac:dyDescent="0.25">
      <c r="A76" s="2" t="s">
        <v>47</v>
      </c>
      <c r="B76" s="7" t="s">
        <v>405</v>
      </c>
      <c r="C76" s="2" t="s">
        <v>46</v>
      </c>
      <c r="D76" s="3">
        <v>1275</v>
      </c>
      <c r="E76" s="4">
        <v>187.01</v>
      </c>
      <c r="F76" s="4">
        <f t="shared" si="1"/>
        <v>238437.75</v>
      </c>
    </row>
    <row r="77" spans="1:6" x14ac:dyDescent="0.25">
      <c r="A77" s="7" t="s">
        <v>16</v>
      </c>
      <c r="B77" s="2" t="s">
        <v>401</v>
      </c>
      <c r="C77" s="7" t="s">
        <v>15</v>
      </c>
      <c r="D77" s="8">
        <v>4912</v>
      </c>
      <c r="E77" s="9">
        <v>52.83</v>
      </c>
      <c r="F77" s="9">
        <f t="shared" si="1"/>
        <v>259500.96</v>
      </c>
    </row>
    <row r="78" spans="1:6" x14ac:dyDescent="0.25">
      <c r="A78" s="2" t="s">
        <v>108</v>
      </c>
      <c r="B78" s="2" t="s">
        <v>402</v>
      </c>
      <c r="C78" s="2" t="s">
        <v>107</v>
      </c>
      <c r="D78" s="3">
        <v>1226</v>
      </c>
      <c r="E78" s="4">
        <v>8.24</v>
      </c>
      <c r="F78" s="4">
        <f t="shared" si="1"/>
        <v>10102.24</v>
      </c>
    </row>
    <row r="79" spans="1:6" x14ac:dyDescent="0.25">
      <c r="A79" s="7" t="s">
        <v>16</v>
      </c>
      <c r="B79" s="2" t="s">
        <v>400</v>
      </c>
      <c r="C79" s="7" t="s">
        <v>15</v>
      </c>
      <c r="D79" s="8">
        <v>678</v>
      </c>
      <c r="E79" s="9">
        <v>52.87</v>
      </c>
      <c r="F79" s="9">
        <f t="shared" si="1"/>
        <v>35845.86</v>
      </c>
    </row>
    <row r="80" spans="1:6" x14ac:dyDescent="0.25">
      <c r="A80" s="2" t="s">
        <v>91</v>
      </c>
      <c r="B80" s="7" t="s">
        <v>405</v>
      </c>
      <c r="C80" s="2" t="s">
        <v>90</v>
      </c>
      <c r="D80" s="3">
        <v>1765</v>
      </c>
      <c r="E80" s="4">
        <v>45.97</v>
      </c>
      <c r="F80" s="4">
        <f t="shared" si="1"/>
        <v>81137.05</v>
      </c>
    </row>
    <row r="81" spans="1:6" x14ac:dyDescent="0.25">
      <c r="A81" s="7" t="s">
        <v>39</v>
      </c>
      <c r="B81" s="2" t="s">
        <v>401</v>
      </c>
      <c r="C81" s="7" t="s">
        <v>38</v>
      </c>
      <c r="D81" s="8">
        <v>636</v>
      </c>
      <c r="E81" s="9">
        <v>35.86</v>
      </c>
      <c r="F81" s="9">
        <f t="shared" si="1"/>
        <v>22806.959999999999</v>
      </c>
    </row>
    <row r="82" spans="1:6" x14ac:dyDescent="0.25">
      <c r="A82" s="2" t="s">
        <v>55</v>
      </c>
      <c r="B82" s="2" t="s">
        <v>401</v>
      </c>
      <c r="C82" s="2" t="s">
        <v>54</v>
      </c>
      <c r="D82" s="3">
        <v>4966</v>
      </c>
      <c r="E82" s="4">
        <v>155.55000000000001</v>
      </c>
      <c r="F82" s="4">
        <f t="shared" si="1"/>
        <v>772461.3</v>
      </c>
    </row>
    <row r="83" spans="1:6" x14ac:dyDescent="0.25">
      <c r="A83" s="7" t="s">
        <v>91</v>
      </c>
      <c r="B83" s="7" t="s">
        <v>405</v>
      </c>
      <c r="C83" s="7" t="s">
        <v>90</v>
      </c>
      <c r="D83" s="8">
        <v>4446</v>
      </c>
      <c r="E83" s="9">
        <v>46.6</v>
      </c>
      <c r="F83" s="9">
        <f t="shared" si="1"/>
        <v>207183.6</v>
      </c>
    </row>
    <row r="84" spans="1:6" x14ac:dyDescent="0.25">
      <c r="A84" s="2" t="s">
        <v>69</v>
      </c>
      <c r="B84" s="2" t="s">
        <v>400</v>
      </c>
      <c r="C84" s="2" t="s">
        <v>68</v>
      </c>
      <c r="D84" s="3">
        <v>3382</v>
      </c>
      <c r="E84" s="4">
        <v>2495.87</v>
      </c>
      <c r="F84" s="4">
        <f t="shared" si="1"/>
        <v>8441032.3399999999</v>
      </c>
    </row>
    <row r="85" spans="1:6" x14ac:dyDescent="0.25">
      <c r="A85" s="7" t="s">
        <v>108</v>
      </c>
      <c r="B85" s="2" t="s">
        <v>401</v>
      </c>
      <c r="C85" s="7" t="s">
        <v>107</v>
      </c>
      <c r="D85" s="8">
        <v>310</v>
      </c>
      <c r="E85" s="9">
        <v>8.5399999999999991</v>
      </c>
      <c r="F85" s="9">
        <f t="shared" si="1"/>
        <v>2647.3999999999996</v>
      </c>
    </row>
    <row r="86" spans="1:6" x14ac:dyDescent="0.25">
      <c r="A86" s="2" t="s">
        <v>25</v>
      </c>
      <c r="B86" s="7" t="s">
        <v>405</v>
      </c>
      <c r="C86" s="2" t="s">
        <v>24</v>
      </c>
      <c r="D86" s="3">
        <v>4149</v>
      </c>
      <c r="E86" s="4">
        <v>559.66</v>
      </c>
      <c r="F86" s="4">
        <f t="shared" si="1"/>
        <v>2322029.34</v>
      </c>
    </row>
    <row r="87" spans="1:6" x14ac:dyDescent="0.25">
      <c r="A87" s="7" t="s">
        <v>32</v>
      </c>
      <c r="B87" s="2" t="s">
        <v>403</v>
      </c>
      <c r="C87" s="7" t="s">
        <v>31</v>
      </c>
      <c r="D87" s="8">
        <v>2963</v>
      </c>
      <c r="E87" s="9">
        <v>22.42</v>
      </c>
      <c r="F87" s="9">
        <f t="shared" si="1"/>
        <v>66430.460000000006</v>
      </c>
    </row>
    <row r="88" spans="1:6" x14ac:dyDescent="0.25">
      <c r="A88" s="2" t="s">
        <v>55</v>
      </c>
      <c r="B88" s="2" t="s">
        <v>402</v>
      </c>
      <c r="C88" s="2" t="s">
        <v>54</v>
      </c>
      <c r="D88" s="3">
        <v>2370</v>
      </c>
      <c r="E88" s="4">
        <v>151.97</v>
      </c>
      <c r="F88" s="4">
        <f t="shared" si="1"/>
        <v>360168.9</v>
      </c>
    </row>
    <row r="89" spans="1:6" x14ac:dyDescent="0.25">
      <c r="A89" s="7" t="s">
        <v>32</v>
      </c>
      <c r="B89" s="2" t="s">
        <v>402</v>
      </c>
      <c r="C89" s="7" t="s">
        <v>31</v>
      </c>
      <c r="D89" s="8">
        <v>4632</v>
      </c>
      <c r="E89" s="9">
        <v>21.39</v>
      </c>
      <c r="F89" s="9">
        <f t="shared" si="1"/>
        <v>99078.48</v>
      </c>
    </row>
    <row r="90" spans="1:6" x14ac:dyDescent="0.25">
      <c r="A90" s="2" t="s">
        <v>69</v>
      </c>
      <c r="B90" s="2" t="s">
        <v>401</v>
      </c>
      <c r="C90" s="2" t="s">
        <v>68</v>
      </c>
      <c r="D90" s="3">
        <v>2936</v>
      </c>
      <c r="E90" s="4">
        <v>2592.77</v>
      </c>
      <c r="F90" s="4">
        <f t="shared" si="1"/>
        <v>7612372.7199999997</v>
      </c>
    </row>
    <row r="91" spans="1:6" x14ac:dyDescent="0.25">
      <c r="A91" s="7" t="s">
        <v>91</v>
      </c>
      <c r="B91" s="7" t="s">
        <v>405</v>
      </c>
      <c r="C91" s="7" t="s">
        <v>90</v>
      </c>
      <c r="D91" s="8">
        <v>3825</v>
      </c>
      <c r="E91" s="9">
        <v>44.55</v>
      </c>
      <c r="F91" s="9">
        <f t="shared" si="1"/>
        <v>170403.75</v>
      </c>
    </row>
    <row r="92" spans="1:6" x14ac:dyDescent="0.25">
      <c r="A92" s="2" t="s">
        <v>47</v>
      </c>
      <c r="B92" s="2" t="s">
        <v>402</v>
      </c>
      <c r="C92" s="2" t="s">
        <v>46</v>
      </c>
      <c r="D92" s="3">
        <v>3537</v>
      </c>
      <c r="E92" s="4">
        <v>186.61</v>
      </c>
      <c r="F92" s="4">
        <f t="shared" si="1"/>
        <v>660039.57000000007</v>
      </c>
    </row>
    <row r="93" spans="1:6" x14ac:dyDescent="0.25">
      <c r="A93" s="7" t="s">
        <v>69</v>
      </c>
      <c r="B93" s="2" t="s">
        <v>402</v>
      </c>
      <c r="C93" s="7" t="s">
        <v>68</v>
      </c>
      <c r="D93" s="8">
        <v>4781</v>
      </c>
      <c r="E93" s="9">
        <v>2452.2600000000002</v>
      </c>
      <c r="F93" s="9">
        <f t="shared" si="1"/>
        <v>11724255.060000001</v>
      </c>
    </row>
    <row r="94" spans="1:6" x14ac:dyDescent="0.25">
      <c r="A94" s="2" t="s">
        <v>61</v>
      </c>
      <c r="B94" s="2" t="s">
        <v>403</v>
      </c>
      <c r="C94" s="2" t="s">
        <v>60</v>
      </c>
      <c r="D94" s="3">
        <v>3064</v>
      </c>
      <c r="E94" s="4">
        <v>67.069999999999993</v>
      </c>
      <c r="F94" s="4">
        <f t="shared" si="1"/>
        <v>205502.47999999998</v>
      </c>
    </row>
    <row r="95" spans="1:6" x14ac:dyDescent="0.25">
      <c r="A95" s="7" t="s">
        <v>55</v>
      </c>
      <c r="B95" s="7" t="s">
        <v>405</v>
      </c>
      <c r="C95" s="7" t="s">
        <v>54</v>
      </c>
      <c r="D95" s="8">
        <v>2054</v>
      </c>
      <c r="E95" s="9">
        <v>145.19999999999999</v>
      </c>
      <c r="F95" s="9">
        <f t="shared" si="1"/>
        <v>298240.8</v>
      </c>
    </row>
    <row r="96" spans="1:6" x14ac:dyDescent="0.25">
      <c r="A96" s="2" t="s">
        <v>39</v>
      </c>
      <c r="B96" s="2" t="s">
        <v>403</v>
      </c>
      <c r="C96" s="2" t="s">
        <v>38</v>
      </c>
      <c r="D96" s="3">
        <v>1587</v>
      </c>
      <c r="E96" s="4">
        <v>36.049999999999997</v>
      </c>
      <c r="F96" s="4">
        <f t="shared" si="1"/>
        <v>57211.35</v>
      </c>
    </row>
    <row r="97" spans="1:6" x14ac:dyDescent="0.25">
      <c r="A97" s="7" t="s">
        <v>25</v>
      </c>
      <c r="B97" s="2" t="s">
        <v>402</v>
      </c>
      <c r="C97" s="7" t="s">
        <v>24</v>
      </c>
      <c r="D97" s="8">
        <v>109</v>
      </c>
      <c r="E97" s="9">
        <v>544.78</v>
      </c>
      <c r="F97" s="9">
        <f t="shared" si="1"/>
        <v>59381.02</v>
      </c>
    </row>
    <row r="98" spans="1:6" x14ac:dyDescent="0.25">
      <c r="A98" s="2" t="s">
        <v>47</v>
      </c>
      <c r="B98" s="2" t="s">
        <v>401</v>
      </c>
      <c r="C98" s="2" t="s">
        <v>46</v>
      </c>
      <c r="D98" s="3">
        <v>4191</v>
      </c>
      <c r="E98" s="4">
        <v>176.72</v>
      </c>
      <c r="F98" s="4">
        <f t="shared" si="1"/>
        <v>740633.52</v>
      </c>
    </row>
    <row r="99" spans="1:6" x14ac:dyDescent="0.25">
      <c r="A99" s="7" t="s">
        <v>39</v>
      </c>
      <c r="B99" s="2" t="s">
        <v>401</v>
      </c>
      <c r="C99" s="7" t="s">
        <v>38</v>
      </c>
      <c r="D99" s="8">
        <v>3057</v>
      </c>
      <c r="E99" s="9">
        <v>35.21</v>
      </c>
      <c r="F99" s="9">
        <f t="shared" si="1"/>
        <v>107636.97</v>
      </c>
    </row>
    <row r="100" spans="1:6" x14ac:dyDescent="0.25">
      <c r="A100" s="2" t="s">
        <v>55</v>
      </c>
      <c r="B100" s="2" t="s">
        <v>401</v>
      </c>
      <c r="C100" s="2" t="s">
        <v>54</v>
      </c>
      <c r="D100" s="3">
        <v>391</v>
      </c>
      <c r="E100" s="4">
        <v>154.38</v>
      </c>
      <c r="F100" s="4">
        <f t="shared" si="1"/>
        <v>60362.58</v>
      </c>
    </row>
    <row r="101" spans="1:6" x14ac:dyDescent="0.25">
      <c r="A101" s="7" t="s">
        <v>39</v>
      </c>
      <c r="B101" s="2" t="s">
        <v>401</v>
      </c>
      <c r="C101" s="7" t="s">
        <v>38</v>
      </c>
      <c r="D101" s="8">
        <v>202</v>
      </c>
      <c r="E101" s="9">
        <v>35.53</v>
      </c>
      <c r="F101" s="9">
        <f t="shared" si="1"/>
        <v>7177.06</v>
      </c>
    </row>
    <row r="102" spans="1:6" x14ac:dyDescent="0.25">
      <c r="A102" s="2" t="s">
        <v>32</v>
      </c>
      <c r="B102" s="7" t="s">
        <v>405</v>
      </c>
      <c r="C102" s="2" t="s">
        <v>31</v>
      </c>
      <c r="D102" s="3">
        <v>4231</v>
      </c>
      <c r="E102" s="4">
        <v>22.59</v>
      </c>
      <c r="F102" s="4">
        <f t="shared" si="1"/>
        <v>95578.29</v>
      </c>
    </row>
    <row r="103" spans="1:6" x14ac:dyDescent="0.25">
      <c r="A103" s="7" t="s">
        <v>47</v>
      </c>
      <c r="B103" s="2" t="s">
        <v>403</v>
      </c>
      <c r="C103" s="7" t="s">
        <v>46</v>
      </c>
      <c r="D103" s="8">
        <v>1667</v>
      </c>
      <c r="E103" s="9">
        <v>186.54</v>
      </c>
      <c r="F103" s="9">
        <f t="shared" si="1"/>
        <v>310962.18</v>
      </c>
    </row>
    <row r="104" spans="1:6" x14ac:dyDescent="0.25">
      <c r="A104" s="2" t="s">
        <v>55</v>
      </c>
      <c r="B104" s="2" t="s">
        <v>403</v>
      </c>
      <c r="C104" s="2" t="s">
        <v>54</v>
      </c>
      <c r="D104" s="3">
        <v>4930</v>
      </c>
      <c r="E104" s="4">
        <v>146.91999999999999</v>
      </c>
      <c r="F104" s="4">
        <f t="shared" si="1"/>
        <v>724315.6</v>
      </c>
    </row>
    <row r="105" spans="1:6" x14ac:dyDescent="0.25">
      <c r="A105" s="7" t="s">
        <v>39</v>
      </c>
      <c r="B105" s="2" t="s">
        <v>401</v>
      </c>
      <c r="C105" s="7" t="s">
        <v>38</v>
      </c>
      <c r="D105" s="8">
        <v>932</v>
      </c>
      <c r="E105" s="9">
        <v>34.729999999999997</v>
      </c>
      <c r="F105" s="9">
        <f t="shared" si="1"/>
        <v>32368.359999999997</v>
      </c>
    </row>
    <row r="106" spans="1:6" x14ac:dyDescent="0.25">
      <c r="A106" s="2" t="s">
        <v>55</v>
      </c>
      <c r="B106" s="2" t="s">
        <v>403</v>
      </c>
      <c r="C106" s="2" t="s">
        <v>54</v>
      </c>
      <c r="D106" s="3">
        <v>1539</v>
      </c>
      <c r="E106" s="4">
        <v>152.41999999999999</v>
      </c>
      <c r="F106" s="4">
        <f t="shared" si="1"/>
        <v>234574.37999999998</v>
      </c>
    </row>
    <row r="107" spans="1:6" x14ac:dyDescent="0.25">
      <c r="A107" s="7" t="s">
        <v>47</v>
      </c>
      <c r="B107" s="7" t="s">
        <v>405</v>
      </c>
      <c r="C107" s="7" t="s">
        <v>46</v>
      </c>
      <c r="D107" s="8">
        <v>2064</v>
      </c>
      <c r="E107" s="9">
        <v>178.66</v>
      </c>
      <c r="F107" s="9">
        <f t="shared" si="1"/>
        <v>368754.24</v>
      </c>
    </row>
    <row r="108" spans="1:6" x14ac:dyDescent="0.25">
      <c r="A108" s="2" t="s">
        <v>69</v>
      </c>
      <c r="B108" s="2" t="s">
        <v>401</v>
      </c>
      <c r="C108" s="2" t="s">
        <v>68</v>
      </c>
      <c r="D108" s="3">
        <v>4370</v>
      </c>
      <c r="E108" s="4">
        <v>2561.21</v>
      </c>
      <c r="F108" s="4">
        <f t="shared" si="1"/>
        <v>11192487.699999999</v>
      </c>
    </row>
    <row r="109" spans="1:6" x14ac:dyDescent="0.25">
      <c r="A109" s="7" t="s">
        <v>108</v>
      </c>
      <c r="B109" s="2" t="s">
        <v>403</v>
      </c>
      <c r="C109" s="7" t="s">
        <v>107</v>
      </c>
      <c r="D109" s="8">
        <v>2039</v>
      </c>
      <c r="E109" s="9">
        <v>8.51</v>
      </c>
      <c r="F109" s="9">
        <f t="shared" si="1"/>
        <v>17351.89</v>
      </c>
    </row>
    <row r="110" spans="1:6" x14ac:dyDescent="0.25">
      <c r="A110" s="2" t="s">
        <v>16</v>
      </c>
      <c r="B110" s="2" t="s">
        <v>400</v>
      </c>
      <c r="C110" s="2" t="s">
        <v>15</v>
      </c>
      <c r="D110" s="3">
        <v>1796</v>
      </c>
      <c r="E110" s="4">
        <v>56.59</v>
      </c>
      <c r="F110" s="4">
        <f t="shared" si="1"/>
        <v>101635.64</v>
      </c>
    </row>
    <row r="111" spans="1:6" x14ac:dyDescent="0.25">
      <c r="A111" s="7" t="s">
        <v>39</v>
      </c>
      <c r="B111" s="2" t="s">
        <v>400</v>
      </c>
      <c r="C111" s="7" t="s">
        <v>38</v>
      </c>
      <c r="D111" s="8">
        <v>3198</v>
      </c>
      <c r="E111" s="9">
        <v>33.82</v>
      </c>
      <c r="F111" s="9">
        <f t="shared" si="1"/>
        <v>108156.36</v>
      </c>
    </row>
    <row r="112" spans="1:6" x14ac:dyDescent="0.25">
      <c r="A112" s="2" t="s">
        <v>55</v>
      </c>
      <c r="B112" s="7" t="s">
        <v>405</v>
      </c>
      <c r="C112" s="2" t="s">
        <v>54</v>
      </c>
      <c r="D112" s="3">
        <v>2393</v>
      </c>
      <c r="E112" s="4">
        <v>144.65</v>
      </c>
      <c r="F112" s="4">
        <f t="shared" si="1"/>
        <v>346147.45</v>
      </c>
    </row>
    <row r="113" spans="1:6" x14ac:dyDescent="0.25">
      <c r="A113" s="7" t="s">
        <v>32</v>
      </c>
      <c r="B113" s="2" t="s">
        <v>403</v>
      </c>
      <c r="C113" s="7" t="s">
        <v>31</v>
      </c>
      <c r="D113" s="8">
        <v>1358</v>
      </c>
      <c r="E113" s="9">
        <v>22.55</v>
      </c>
      <c r="F113" s="9">
        <f t="shared" si="1"/>
        <v>30622.9</v>
      </c>
    </row>
    <row r="114" spans="1:6" x14ac:dyDescent="0.25">
      <c r="A114" s="2" t="s">
        <v>61</v>
      </c>
      <c r="B114" s="2" t="s">
        <v>402</v>
      </c>
      <c r="C114" s="2" t="s">
        <v>60</v>
      </c>
      <c r="D114" s="3">
        <v>2039</v>
      </c>
      <c r="E114" s="4">
        <v>62.91</v>
      </c>
      <c r="F114" s="4">
        <f t="shared" si="1"/>
        <v>128273.48999999999</v>
      </c>
    </row>
    <row r="115" spans="1:6" x14ac:dyDescent="0.25">
      <c r="A115" s="7" t="s">
        <v>32</v>
      </c>
      <c r="B115" s="7" t="s">
        <v>405</v>
      </c>
      <c r="C115" s="7" t="s">
        <v>31</v>
      </c>
      <c r="D115" s="8">
        <v>3553</v>
      </c>
      <c r="E115" s="9">
        <v>22.08</v>
      </c>
      <c r="F115" s="9">
        <f t="shared" si="1"/>
        <v>78450.239999999991</v>
      </c>
    </row>
    <row r="116" spans="1:6" x14ac:dyDescent="0.25">
      <c r="A116" s="2" t="s">
        <v>25</v>
      </c>
      <c r="B116" s="2" t="s">
        <v>403</v>
      </c>
      <c r="C116" s="2" t="s">
        <v>24</v>
      </c>
      <c r="D116" s="3">
        <v>3022</v>
      </c>
      <c r="E116" s="4">
        <v>531.46</v>
      </c>
      <c r="F116" s="4">
        <f t="shared" si="1"/>
        <v>1606072.12</v>
      </c>
    </row>
    <row r="117" spans="1:6" x14ac:dyDescent="0.25">
      <c r="A117" s="7" t="s">
        <v>32</v>
      </c>
      <c r="B117" s="2" t="s">
        <v>402</v>
      </c>
      <c r="C117" s="7" t="s">
        <v>31</v>
      </c>
      <c r="D117" s="8">
        <v>3639</v>
      </c>
      <c r="E117" s="9">
        <v>22.22</v>
      </c>
      <c r="F117" s="9">
        <f t="shared" si="1"/>
        <v>80858.58</v>
      </c>
    </row>
    <row r="118" spans="1:6" x14ac:dyDescent="0.25">
      <c r="A118" s="2" t="s">
        <v>61</v>
      </c>
      <c r="B118" s="7" t="s">
        <v>405</v>
      </c>
      <c r="C118" s="2" t="s">
        <v>60</v>
      </c>
      <c r="D118" s="3">
        <v>3493</v>
      </c>
      <c r="E118" s="4">
        <v>65.959999999999994</v>
      </c>
      <c r="F118" s="4">
        <f t="shared" si="1"/>
        <v>230398.27999999997</v>
      </c>
    </row>
    <row r="119" spans="1:6" x14ac:dyDescent="0.25">
      <c r="A119" s="7" t="s">
        <v>55</v>
      </c>
      <c r="B119" s="2" t="s">
        <v>400</v>
      </c>
      <c r="C119" s="7" t="s">
        <v>54</v>
      </c>
      <c r="D119" s="8">
        <v>4140</v>
      </c>
      <c r="E119" s="9">
        <v>149.11000000000001</v>
      </c>
      <c r="F119" s="9">
        <f t="shared" si="1"/>
        <v>617315.4</v>
      </c>
    </row>
    <row r="120" spans="1:6" x14ac:dyDescent="0.25">
      <c r="A120" s="2" t="s">
        <v>91</v>
      </c>
      <c r="B120" s="2" t="s">
        <v>403</v>
      </c>
      <c r="C120" s="2" t="s">
        <v>90</v>
      </c>
      <c r="D120" s="3">
        <v>3102</v>
      </c>
      <c r="E120" s="4">
        <v>45.2</v>
      </c>
      <c r="F120" s="4">
        <f t="shared" si="1"/>
        <v>140210.40000000002</v>
      </c>
    </row>
    <row r="121" spans="1:6" x14ac:dyDescent="0.25">
      <c r="A121" s="7" t="s">
        <v>108</v>
      </c>
      <c r="B121" s="2" t="s">
        <v>401</v>
      </c>
      <c r="C121" s="7" t="s">
        <v>107</v>
      </c>
      <c r="D121" s="8">
        <v>738</v>
      </c>
      <c r="E121" s="9">
        <v>8.66</v>
      </c>
      <c r="F121" s="9">
        <f t="shared" si="1"/>
        <v>6391.08</v>
      </c>
    </row>
    <row r="122" spans="1:6" x14ac:dyDescent="0.25">
      <c r="A122" s="2" t="s">
        <v>16</v>
      </c>
      <c r="B122" s="2" t="s">
        <v>403</v>
      </c>
      <c r="C122" s="2" t="s">
        <v>15</v>
      </c>
      <c r="D122" s="3">
        <v>2147</v>
      </c>
      <c r="E122" s="4">
        <v>57.03</v>
      </c>
      <c r="F122" s="4">
        <f t="shared" si="1"/>
        <v>122443.41</v>
      </c>
    </row>
    <row r="123" spans="1:6" x14ac:dyDescent="0.25">
      <c r="A123" s="7" t="s">
        <v>25</v>
      </c>
      <c r="B123" s="2" t="s">
        <v>402</v>
      </c>
      <c r="C123" s="7" t="s">
        <v>24</v>
      </c>
      <c r="D123" s="8">
        <v>3731</v>
      </c>
      <c r="E123" s="9">
        <v>543.48</v>
      </c>
      <c r="F123" s="9">
        <f t="shared" si="1"/>
        <v>2027723.8800000001</v>
      </c>
    </row>
    <row r="124" spans="1:6" x14ac:dyDescent="0.25">
      <c r="A124" s="2" t="s">
        <v>39</v>
      </c>
      <c r="B124" s="2" t="s">
        <v>400</v>
      </c>
      <c r="C124" s="2" t="s">
        <v>38</v>
      </c>
      <c r="D124" s="3">
        <v>2857</v>
      </c>
      <c r="E124" s="4">
        <v>34.03</v>
      </c>
      <c r="F124" s="4">
        <f t="shared" si="1"/>
        <v>97223.71</v>
      </c>
    </row>
    <row r="125" spans="1:6" x14ac:dyDescent="0.25">
      <c r="A125" s="7" t="s">
        <v>55</v>
      </c>
      <c r="B125" s="2" t="s">
        <v>402</v>
      </c>
      <c r="C125" s="7" t="s">
        <v>54</v>
      </c>
      <c r="D125" s="8">
        <v>1786</v>
      </c>
      <c r="E125" s="9">
        <v>154.32</v>
      </c>
      <c r="F125" s="9">
        <f t="shared" si="1"/>
        <v>275615.51999999996</v>
      </c>
    </row>
    <row r="126" spans="1:6" x14ac:dyDescent="0.25">
      <c r="A126" s="2" t="s">
        <v>39</v>
      </c>
      <c r="B126" s="2" t="s">
        <v>401</v>
      </c>
      <c r="C126" s="2" t="s">
        <v>38</v>
      </c>
      <c r="D126" s="3">
        <v>2775</v>
      </c>
      <c r="E126" s="4">
        <v>35.450000000000003</v>
      </c>
      <c r="F126" s="4">
        <f t="shared" si="1"/>
        <v>98373.750000000015</v>
      </c>
    </row>
    <row r="127" spans="1:6" x14ac:dyDescent="0.25">
      <c r="A127" s="7" t="s">
        <v>55</v>
      </c>
      <c r="B127" s="2" t="s">
        <v>402</v>
      </c>
      <c r="C127" s="7" t="s">
        <v>54</v>
      </c>
      <c r="D127" s="8">
        <v>449</v>
      </c>
      <c r="E127" s="9">
        <v>151.12</v>
      </c>
      <c r="F127" s="9">
        <f t="shared" si="1"/>
        <v>67852.88</v>
      </c>
    </row>
    <row r="128" spans="1:6" x14ac:dyDescent="0.25">
      <c r="A128" s="2" t="s">
        <v>47</v>
      </c>
      <c r="B128" s="2" t="s">
        <v>400</v>
      </c>
      <c r="C128" s="2" t="s">
        <v>46</v>
      </c>
      <c r="D128" s="3">
        <v>1279</v>
      </c>
      <c r="E128" s="4">
        <v>175.79</v>
      </c>
      <c r="F128" s="4">
        <f t="shared" si="1"/>
        <v>224835.41</v>
      </c>
    </row>
    <row r="129" spans="1:6" x14ac:dyDescent="0.25">
      <c r="A129" s="7" t="s">
        <v>16</v>
      </c>
      <c r="B129" s="7" t="s">
        <v>405</v>
      </c>
      <c r="C129" s="7" t="s">
        <v>15</v>
      </c>
      <c r="D129" s="8">
        <v>2378</v>
      </c>
      <c r="E129" s="9">
        <v>56.34</v>
      </c>
      <c r="F129" s="9">
        <f t="shared" si="1"/>
        <v>133976.52000000002</v>
      </c>
    </row>
    <row r="130" spans="1:6" x14ac:dyDescent="0.25">
      <c r="A130" s="2" t="s">
        <v>55</v>
      </c>
      <c r="B130" s="2" t="s">
        <v>401</v>
      </c>
      <c r="C130" s="2" t="s">
        <v>54</v>
      </c>
      <c r="D130" s="3">
        <v>2872</v>
      </c>
      <c r="E130" s="4">
        <v>147.26</v>
      </c>
      <c r="F130" s="4">
        <f t="shared" ref="F130:F193" si="2">D130*E130</f>
        <v>422930.72</v>
      </c>
    </row>
    <row r="131" spans="1:6" x14ac:dyDescent="0.25">
      <c r="A131" s="7" t="s">
        <v>39</v>
      </c>
      <c r="B131" s="2" t="s">
        <v>400</v>
      </c>
      <c r="C131" s="7" t="s">
        <v>38</v>
      </c>
      <c r="D131" s="8">
        <v>1341</v>
      </c>
      <c r="E131" s="9">
        <v>35.619999999999997</v>
      </c>
      <c r="F131" s="9">
        <f t="shared" si="2"/>
        <v>47766.42</v>
      </c>
    </row>
    <row r="132" spans="1:6" x14ac:dyDescent="0.25">
      <c r="A132" s="2" t="s">
        <v>55</v>
      </c>
      <c r="B132" s="7" t="s">
        <v>405</v>
      </c>
      <c r="C132" s="2" t="s">
        <v>54</v>
      </c>
      <c r="D132" s="3">
        <v>2285</v>
      </c>
      <c r="E132" s="4">
        <v>154.44</v>
      </c>
      <c r="F132" s="4">
        <f t="shared" si="2"/>
        <v>352895.4</v>
      </c>
    </row>
    <row r="133" spans="1:6" x14ac:dyDescent="0.25">
      <c r="A133" s="7" t="s">
        <v>39</v>
      </c>
      <c r="B133" s="7" t="s">
        <v>405</v>
      </c>
      <c r="C133" s="7" t="s">
        <v>38</v>
      </c>
      <c r="D133" s="8">
        <v>183</v>
      </c>
      <c r="E133" s="9">
        <v>36.159999999999997</v>
      </c>
      <c r="F133" s="9">
        <f t="shared" si="2"/>
        <v>6617.28</v>
      </c>
    </row>
    <row r="134" spans="1:6" x14ac:dyDescent="0.25">
      <c r="A134" s="2" t="s">
        <v>39</v>
      </c>
      <c r="B134" s="2" t="s">
        <v>401</v>
      </c>
      <c r="C134" s="2" t="s">
        <v>38</v>
      </c>
      <c r="D134" s="3">
        <v>3250</v>
      </c>
      <c r="E134" s="4">
        <v>34.72</v>
      </c>
      <c r="F134" s="4">
        <f t="shared" si="2"/>
        <v>112840</v>
      </c>
    </row>
    <row r="135" spans="1:6" x14ac:dyDescent="0.25">
      <c r="A135" s="7" t="s">
        <v>16</v>
      </c>
      <c r="B135" s="2" t="s">
        <v>400</v>
      </c>
      <c r="C135" s="7" t="s">
        <v>15</v>
      </c>
      <c r="D135" s="8">
        <v>4768</v>
      </c>
      <c r="E135" s="9">
        <v>56.02</v>
      </c>
      <c r="F135" s="9">
        <f t="shared" si="2"/>
        <v>267103.35999999999</v>
      </c>
    </row>
    <row r="136" spans="1:6" x14ac:dyDescent="0.25">
      <c r="A136" s="2" t="s">
        <v>39</v>
      </c>
      <c r="B136" s="7" t="s">
        <v>405</v>
      </c>
      <c r="C136" s="2" t="s">
        <v>38</v>
      </c>
      <c r="D136" s="3">
        <v>1968</v>
      </c>
      <c r="E136" s="4">
        <v>35.71</v>
      </c>
      <c r="F136" s="4">
        <f t="shared" si="2"/>
        <v>70277.279999999999</v>
      </c>
    </row>
    <row r="137" spans="1:6" x14ac:dyDescent="0.25">
      <c r="A137" s="7" t="s">
        <v>108</v>
      </c>
      <c r="B137" s="2" t="s">
        <v>401</v>
      </c>
      <c r="C137" s="7" t="s">
        <v>107</v>
      </c>
      <c r="D137" s="8">
        <v>4957</v>
      </c>
      <c r="E137" s="9">
        <v>8.68</v>
      </c>
      <c r="F137" s="9">
        <f t="shared" si="2"/>
        <v>43026.76</v>
      </c>
    </row>
    <row r="138" spans="1:6" x14ac:dyDescent="0.25">
      <c r="A138" s="2" t="s">
        <v>55</v>
      </c>
      <c r="B138" s="2" t="s">
        <v>400</v>
      </c>
      <c r="C138" s="2" t="s">
        <v>54</v>
      </c>
      <c r="D138" s="3">
        <v>4745</v>
      </c>
      <c r="E138" s="4">
        <v>151.72</v>
      </c>
      <c r="F138" s="4">
        <f t="shared" si="2"/>
        <v>719911.4</v>
      </c>
    </row>
    <row r="139" spans="1:6" x14ac:dyDescent="0.25">
      <c r="A139" s="7" t="s">
        <v>47</v>
      </c>
      <c r="B139" s="2" t="s">
        <v>403</v>
      </c>
      <c r="C139" s="7" t="s">
        <v>46</v>
      </c>
      <c r="D139" s="8">
        <v>3311</v>
      </c>
      <c r="E139" s="9">
        <v>180.04</v>
      </c>
      <c r="F139" s="9">
        <f t="shared" si="2"/>
        <v>596112.43999999994</v>
      </c>
    </row>
    <row r="140" spans="1:6" x14ac:dyDescent="0.25">
      <c r="A140" s="2" t="s">
        <v>39</v>
      </c>
      <c r="B140" s="2" t="s">
        <v>402</v>
      </c>
      <c r="C140" s="2" t="s">
        <v>38</v>
      </c>
      <c r="D140" s="3">
        <v>3114</v>
      </c>
      <c r="E140" s="4">
        <v>35.380000000000003</v>
      </c>
      <c r="F140" s="4">
        <f t="shared" si="2"/>
        <v>110173.32</v>
      </c>
    </row>
    <row r="141" spans="1:6" x14ac:dyDescent="0.25">
      <c r="A141" s="7" t="s">
        <v>91</v>
      </c>
      <c r="B141" s="7" t="s">
        <v>405</v>
      </c>
      <c r="C141" s="7" t="s">
        <v>90</v>
      </c>
      <c r="D141" s="8">
        <v>1398</v>
      </c>
      <c r="E141" s="9">
        <v>46.7</v>
      </c>
      <c r="F141" s="9">
        <f t="shared" si="2"/>
        <v>65286.600000000006</v>
      </c>
    </row>
    <row r="142" spans="1:6" x14ac:dyDescent="0.25">
      <c r="A142" s="2" t="s">
        <v>91</v>
      </c>
      <c r="B142" s="2" t="s">
        <v>402</v>
      </c>
      <c r="C142" s="2" t="s">
        <v>90</v>
      </c>
      <c r="D142" s="3">
        <v>2307</v>
      </c>
      <c r="E142" s="4">
        <v>46.47</v>
      </c>
      <c r="F142" s="4">
        <f t="shared" si="2"/>
        <v>107206.29</v>
      </c>
    </row>
    <row r="143" spans="1:6" x14ac:dyDescent="0.25">
      <c r="A143" s="7" t="s">
        <v>61</v>
      </c>
      <c r="B143" s="7" t="s">
        <v>405</v>
      </c>
      <c r="C143" s="7" t="s">
        <v>60</v>
      </c>
      <c r="D143" s="8">
        <v>692</v>
      </c>
      <c r="E143" s="9">
        <v>64.67</v>
      </c>
      <c r="F143" s="9">
        <f t="shared" si="2"/>
        <v>44751.64</v>
      </c>
    </row>
    <row r="144" spans="1:6" x14ac:dyDescent="0.25">
      <c r="A144" s="2" t="s">
        <v>108</v>
      </c>
      <c r="B144" s="2" t="s">
        <v>401</v>
      </c>
      <c r="C144" s="2" t="s">
        <v>107</v>
      </c>
      <c r="D144" s="3">
        <v>3856</v>
      </c>
      <c r="E144" s="4">
        <v>8.5</v>
      </c>
      <c r="F144" s="4">
        <f t="shared" si="2"/>
        <v>32776</v>
      </c>
    </row>
    <row r="145" spans="1:6" x14ac:dyDescent="0.25">
      <c r="A145" s="7" t="s">
        <v>16</v>
      </c>
      <c r="B145" s="2" t="s">
        <v>400</v>
      </c>
      <c r="C145" s="7" t="s">
        <v>15</v>
      </c>
      <c r="D145" s="8">
        <v>3470</v>
      </c>
      <c r="E145" s="9">
        <v>55.71</v>
      </c>
      <c r="F145" s="9">
        <f t="shared" si="2"/>
        <v>193313.7</v>
      </c>
    </row>
    <row r="146" spans="1:6" x14ac:dyDescent="0.25">
      <c r="A146" s="2" t="s">
        <v>39</v>
      </c>
      <c r="B146" s="2" t="s">
        <v>400</v>
      </c>
      <c r="C146" s="2" t="s">
        <v>38</v>
      </c>
      <c r="D146" s="3">
        <v>529</v>
      </c>
      <c r="E146" s="4">
        <v>35.659999999999997</v>
      </c>
      <c r="F146" s="4">
        <f t="shared" si="2"/>
        <v>18864.14</v>
      </c>
    </row>
    <row r="147" spans="1:6" x14ac:dyDescent="0.25">
      <c r="A147" s="7" t="s">
        <v>25</v>
      </c>
      <c r="B147" s="2" t="s">
        <v>401</v>
      </c>
      <c r="C147" s="7" t="s">
        <v>24</v>
      </c>
      <c r="D147" s="8">
        <v>2586</v>
      </c>
      <c r="E147" s="9">
        <v>555.88</v>
      </c>
      <c r="F147" s="9">
        <f t="shared" si="2"/>
        <v>1437505.68</v>
      </c>
    </row>
    <row r="148" spans="1:6" x14ac:dyDescent="0.25">
      <c r="A148" s="2" t="s">
        <v>47</v>
      </c>
      <c r="B148" s="2" t="s">
        <v>401</v>
      </c>
      <c r="C148" s="2" t="s">
        <v>46</v>
      </c>
      <c r="D148" s="3">
        <v>189</v>
      </c>
      <c r="E148" s="4">
        <v>179.04</v>
      </c>
      <c r="F148" s="4">
        <f t="shared" si="2"/>
        <v>33838.559999999998</v>
      </c>
    </row>
    <row r="149" spans="1:6" x14ac:dyDescent="0.25">
      <c r="A149" s="7" t="s">
        <v>25</v>
      </c>
      <c r="B149" s="2" t="s">
        <v>403</v>
      </c>
      <c r="C149" s="7" t="s">
        <v>24</v>
      </c>
      <c r="D149" s="8">
        <v>4139</v>
      </c>
      <c r="E149" s="9">
        <v>533.03</v>
      </c>
      <c r="F149" s="9">
        <f t="shared" si="2"/>
        <v>2206211.17</v>
      </c>
    </row>
    <row r="150" spans="1:6" x14ac:dyDescent="0.25">
      <c r="A150" s="2" t="s">
        <v>32</v>
      </c>
      <c r="B150" s="2" t="s">
        <v>403</v>
      </c>
      <c r="C150" s="2" t="s">
        <v>31</v>
      </c>
      <c r="D150" s="3">
        <v>1977</v>
      </c>
      <c r="E150" s="4">
        <v>22.02</v>
      </c>
      <c r="F150" s="4">
        <f t="shared" si="2"/>
        <v>43533.54</v>
      </c>
    </row>
    <row r="151" spans="1:6" x14ac:dyDescent="0.25">
      <c r="A151" s="7" t="s">
        <v>47</v>
      </c>
      <c r="B151" s="7" t="s">
        <v>405</v>
      </c>
      <c r="C151" s="7" t="s">
        <v>46</v>
      </c>
      <c r="D151" s="8">
        <v>1569</v>
      </c>
      <c r="E151" s="9">
        <v>183.43</v>
      </c>
      <c r="F151" s="9">
        <f t="shared" si="2"/>
        <v>287801.67</v>
      </c>
    </row>
    <row r="152" spans="1:6" x14ac:dyDescent="0.25">
      <c r="A152" s="2" t="s">
        <v>69</v>
      </c>
      <c r="B152" s="2" t="s">
        <v>402</v>
      </c>
      <c r="C152" s="2" t="s">
        <v>68</v>
      </c>
      <c r="D152" s="3">
        <v>4178</v>
      </c>
      <c r="E152" s="4">
        <v>2406.64</v>
      </c>
      <c r="F152" s="4">
        <f t="shared" si="2"/>
        <v>10054941.92</v>
      </c>
    </row>
    <row r="153" spans="1:6" x14ac:dyDescent="0.25">
      <c r="A153" s="7" t="s">
        <v>61</v>
      </c>
      <c r="B153" s="2" t="s">
        <v>400</v>
      </c>
      <c r="C153" s="7" t="s">
        <v>60</v>
      </c>
      <c r="D153" s="8">
        <v>1138</v>
      </c>
      <c r="E153" s="9">
        <v>65.819999999999993</v>
      </c>
      <c r="F153" s="9">
        <f t="shared" si="2"/>
        <v>74903.159999999989</v>
      </c>
    </row>
    <row r="154" spans="1:6" x14ac:dyDescent="0.25">
      <c r="A154" s="2" t="s">
        <v>91</v>
      </c>
      <c r="B154" s="2" t="s">
        <v>403</v>
      </c>
      <c r="C154" s="2" t="s">
        <v>90</v>
      </c>
      <c r="D154" s="3">
        <v>971</v>
      </c>
      <c r="E154" s="4">
        <v>46.57</v>
      </c>
      <c r="F154" s="4">
        <f t="shared" si="2"/>
        <v>45219.47</v>
      </c>
    </row>
    <row r="155" spans="1:6" x14ac:dyDescent="0.25">
      <c r="A155" s="7" t="s">
        <v>55</v>
      </c>
      <c r="B155" s="2" t="s">
        <v>402</v>
      </c>
      <c r="C155" s="7" t="s">
        <v>54</v>
      </c>
      <c r="D155" s="8">
        <v>644</v>
      </c>
      <c r="E155" s="9">
        <v>147.1</v>
      </c>
      <c r="F155" s="9">
        <f t="shared" si="2"/>
        <v>94732.4</v>
      </c>
    </row>
    <row r="156" spans="1:6" x14ac:dyDescent="0.25">
      <c r="A156" s="2" t="s">
        <v>69</v>
      </c>
      <c r="B156" s="2" t="s">
        <v>402</v>
      </c>
      <c r="C156" s="2" t="s">
        <v>68</v>
      </c>
      <c r="D156" s="3">
        <v>1578</v>
      </c>
      <c r="E156" s="4">
        <v>2572.27</v>
      </c>
      <c r="F156" s="4">
        <f t="shared" si="2"/>
        <v>4059042.06</v>
      </c>
    </row>
    <row r="157" spans="1:6" x14ac:dyDescent="0.25">
      <c r="A157" s="7" t="s">
        <v>32</v>
      </c>
      <c r="B157" s="2" t="s">
        <v>402</v>
      </c>
      <c r="C157" s="7" t="s">
        <v>31</v>
      </c>
      <c r="D157" s="8">
        <v>2395</v>
      </c>
      <c r="E157" s="9">
        <v>21.41</v>
      </c>
      <c r="F157" s="9">
        <f t="shared" si="2"/>
        <v>51276.95</v>
      </c>
    </row>
    <row r="158" spans="1:6" x14ac:dyDescent="0.25">
      <c r="A158" s="2" t="s">
        <v>55</v>
      </c>
      <c r="B158" s="2" t="s">
        <v>403</v>
      </c>
      <c r="C158" s="2" t="s">
        <v>54</v>
      </c>
      <c r="D158" s="3">
        <v>1512</v>
      </c>
      <c r="E158" s="4">
        <v>147.5</v>
      </c>
      <c r="F158" s="4">
        <f t="shared" si="2"/>
        <v>223020</v>
      </c>
    </row>
    <row r="159" spans="1:6" x14ac:dyDescent="0.25">
      <c r="A159" s="7" t="s">
        <v>47</v>
      </c>
      <c r="B159" s="2" t="s">
        <v>401</v>
      </c>
      <c r="C159" s="7" t="s">
        <v>46</v>
      </c>
      <c r="D159" s="8">
        <v>3044</v>
      </c>
      <c r="E159" s="9">
        <v>185.55</v>
      </c>
      <c r="F159" s="9">
        <f t="shared" si="2"/>
        <v>564814.20000000007</v>
      </c>
    </row>
    <row r="160" spans="1:6" x14ac:dyDescent="0.25">
      <c r="A160" s="2" t="s">
        <v>39</v>
      </c>
      <c r="B160" s="7" t="s">
        <v>405</v>
      </c>
      <c r="C160" s="2" t="s">
        <v>38</v>
      </c>
      <c r="D160" s="3">
        <v>4174</v>
      </c>
      <c r="E160" s="4">
        <v>36.130000000000003</v>
      </c>
      <c r="F160" s="4">
        <f t="shared" si="2"/>
        <v>150806.62000000002</v>
      </c>
    </row>
    <row r="161" spans="1:6" x14ac:dyDescent="0.25">
      <c r="A161" s="7" t="s">
        <v>25</v>
      </c>
      <c r="B161" s="2" t="s">
        <v>400</v>
      </c>
      <c r="C161" s="7" t="s">
        <v>24</v>
      </c>
      <c r="D161" s="8">
        <v>2817</v>
      </c>
      <c r="E161" s="9">
        <v>543.20000000000005</v>
      </c>
      <c r="F161" s="9">
        <f t="shared" si="2"/>
        <v>1530194.4000000001</v>
      </c>
    </row>
    <row r="162" spans="1:6" x14ac:dyDescent="0.25">
      <c r="A162" s="2" t="s">
        <v>16</v>
      </c>
      <c r="B162" s="7" t="s">
        <v>405</v>
      </c>
      <c r="C162" s="2" t="s">
        <v>15</v>
      </c>
      <c r="D162" s="3">
        <v>3793</v>
      </c>
      <c r="E162" s="4">
        <v>54.23</v>
      </c>
      <c r="F162" s="4">
        <f t="shared" si="2"/>
        <v>205694.38999999998</v>
      </c>
    </row>
    <row r="163" spans="1:6" x14ac:dyDescent="0.25">
      <c r="A163" s="7" t="s">
        <v>32</v>
      </c>
      <c r="B163" s="2" t="s">
        <v>401</v>
      </c>
      <c r="C163" s="7" t="s">
        <v>31</v>
      </c>
      <c r="D163" s="8">
        <v>4216</v>
      </c>
      <c r="E163" s="9">
        <v>22.14</v>
      </c>
      <c r="F163" s="9">
        <f t="shared" si="2"/>
        <v>93342.24</v>
      </c>
    </row>
    <row r="164" spans="1:6" x14ac:dyDescent="0.25">
      <c r="A164" s="2" t="s">
        <v>16</v>
      </c>
      <c r="B164" s="2" t="s">
        <v>403</v>
      </c>
      <c r="C164" s="2" t="s">
        <v>15</v>
      </c>
      <c r="D164" s="3">
        <v>2515</v>
      </c>
      <c r="E164" s="4">
        <v>53.69</v>
      </c>
      <c r="F164" s="4">
        <f t="shared" si="2"/>
        <v>135030.35</v>
      </c>
    </row>
    <row r="165" spans="1:6" x14ac:dyDescent="0.25">
      <c r="A165" s="7" t="s">
        <v>69</v>
      </c>
      <c r="B165" s="2" t="s">
        <v>402</v>
      </c>
      <c r="C165" s="7" t="s">
        <v>68</v>
      </c>
      <c r="D165" s="8">
        <v>2763</v>
      </c>
      <c r="E165" s="9">
        <v>2521.6799999999998</v>
      </c>
      <c r="F165" s="9">
        <f t="shared" si="2"/>
        <v>6967401.8399999999</v>
      </c>
    </row>
    <row r="166" spans="1:6" x14ac:dyDescent="0.25">
      <c r="A166" s="2" t="s">
        <v>55</v>
      </c>
      <c r="B166" s="2" t="s">
        <v>401</v>
      </c>
      <c r="C166" s="2" t="s">
        <v>54</v>
      </c>
      <c r="D166" s="3">
        <v>1606</v>
      </c>
      <c r="E166" s="4">
        <v>150.76</v>
      </c>
      <c r="F166" s="4">
        <f t="shared" si="2"/>
        <v>242120.56</v>
      </c>
    </row>
    <row r="167" spans="1:6" x14ac:dyDescent="0.25">
      <c r="A167" s="7" t="s">
        <v>16</v>
      </c>
      <c r="B167" s="7" t="s">
        <v>405</v>
      </c>
      <c r="C167" s="7" t="s">
        <v>15</v>
      </c>
      <c r="D167" s="8">
        <v>2444</v>
      </c>
      <c r="E167" s="9">
        <v>54.06</v>
      </c>
      <c r="F167" s="9">
        <f t="shared" si="2"/>
        <v>132122.64000000001</v>
      </c>
    </row>
    <row r="168" spans="1:6" x14ac:dyDescent="0.25">
      <c r="A168" s="2" t="s">
        <v>69</v>
      </c>
      <c r="B168" s="2" t="s">
        <v>400</v>
      </c>
      <c r="C168" s="2" t="s">
        <v>68</v>
      </c>
      <c r="D168" s="3">
        <v>2398</v>
      </c>
      <c r="E168" s="4">
        <v>2576.17</v>
      </c>
      <c r="F168" s="4">
        <f t="shared" si="2"/>
        <v>6177655.6600000001</v>
      </c>
    </row>
    <row r="169" spans="1:6" x14ac:dyDescent="0.25">
      <c r="A169" s="7" t="s">
        <v>55</v>
      </c>
      <c r="B169" s="7" t="s">
        <v>405</v>
      </c>
      <c r="C169" s="7" t="s">
        <v>54</v>
      </c>
      <c r="D169" s="8">
        <v>433</v>
      </c>
      <c r="E169" s="9">
        <v>152.13</v>
      </c>
      <c r="F169" s="9">
        <f t="shared" si="2"/>
        <v>65872.289999999994</v>
      </c>
    </row>
    <row r="170" spans="1:6" x14ac:dyDescent="0.25">
      <c r="A170" s="2" t="s">
        <v>16</v>
      </c>
      <c r="B170" s="2" t="s">
        <v>400</v>
      </c>
      <c r="C170" s="2" t="s">
        <v>15</v>
      </c>
      <c r="D170" s="3">
        <v>1815</v>
      </c>
      <c r="E170" s="4">
        <v>54.12</v>
      </c>
      <c r="F170" s="4">
        <f t="shared" si="2"/>
        <v>98227.799999999988</v>
      </c>
    </row>
    <row r="171" spans="1:6" x14ac:dyDescent="0.25">
      <c r="A171" s="7" t="s">
        <v>16</v>
      </c>
      <c r="B171" s="2" t="s">
        <v>403</v>
      </c>
      <c r="C171" s="7" t="s">
        <v>15</v>
      </c>
      <c r="D171" s="8">
        <v>4851</v>
      </c>
      <c r="E171" s="9">
        <v>53.33</v>
      </c>
      <c r="F171" s="9">
        <f t="shared" si="2"/>
        <v>258703.83</v>
      </c>
    </row>
    <row r="172" spans="1:6" x14ac:dyDescent="0.25">
      <c r="A172" s="2" t="s">
        <v>61</v>
      </c>
      <c r="B172" s="7" t="s">
        <v>405</v>
      </c>
      <c r="C172" s="2" t="s">
        <v>60</v>
      </c>
      <c r="D172" s="3">
        <v>4874</v>
      </c>
      <c r="E172" s="4">
        <v>65.739999999999995</v>
      </c>
      <c r="F172" s="4">
        <f t="shared" si="2"/>
        <v>320416.75999999995</v>
      </c>
    </row>
    <row r="173" spans="1:6" x14ac:dyDescent="0.25">
      <c r="A173" s="7" t="s">
        <v>47</v>
      </c>
      <c r="B173" s="2" t="s">
        <v>402</v>
      </c>
      <c r="C173" s="7" t="s">
        <v>46</v>
      </c>
      <c r="D173" s="8">
        <v>4822</v>
      </c>
      <c r="E173" s="9">
        <v>185.52</v>
      </c>
      <c r="F173" s="9">
        <f t="shared" si="2"/>
        <v>894577.44000000006</v>
      </c>
    </row>
    <row r="174" spans="1:6" x14ac:dyDescent="0.25">
      <c r="A174" s="2" t="s">
        <v>55</v>
      </c>
      <c r="B174" s="2" t="s">
        <v>400</v>
      </c>
      <c r="C174" s="2" t="s">
        <v>54</v>
      </c>
      <c r="D174" s="3">
        <v>1577</v>
      </c>
      <c r="E174" s="4">
        <v>149.91</v>
      </c>
      <c r="F174" s="4">
        <f t="shared" si="2"/>
        <v>236408.07</v>
      </c>
    </row>
    <row r="175" spans="1:6" x14ac:dyDescent="0.25">
      <c r="A175" s="7" t="s">
        <v>91</v>
      </c>
      <c r="B175" s="2" t="s">
        <v>403</v>
      </c>
      <c r="C175" s="7" t="s">
        <v>90</v>
      </c>
      <c r="D175" s="8">
        <v>1168</v>
      </c>
      <c r="E175" s="9">
        <v>44.1</v>
      </c>
      <c r="F175" s="9">
        <f t="shared" si="2"/>
        <v>51508.800000000003</v>
      </c>
    </row>
    <row r="176" spans="1:6" x14ac:dyDescent="0.25">
      <c r="A176" s="2" t="s">
        <v>55</v>
      </c>
      <c r="B176" s="2" t="s">
        <v>403</v>
      </c>
      <c r="C176" s="2" t="s">
        <v>54</v>
      </c>
      <c r="D176" s="3">
        <v>949</v>
      </c>
      <c r="E176" s="4">
        <v>145.87</v>
      </c>
      <c r="F176" s="4">
        <f t="shared" si="2"/>
        <v>138430.63</v>
      </c>
    </row>
    <row r="177" spans="1:6" x14ac:dyDescent="0.25">
      <c r="A177" s="7" t="s">
        <v>69</v>
      </c>
      <c r="B177" s="2" t="s">
        <v>401</v>
      </c>
      <c r="C177" s="7" t="s">
        <v>68</v>
      </c>
      <c r="D177" s="8">
        <v>1624</v>
      </c>
      <c r="E177" s="9">
        <v>2528.11</v>
      </c>
      <c r="F177" s="9">
        <f t="shared" si="2"/>
        <v>4105650.64</v>
      </c>
    </row>
    <row r="178" spans="1:6" x14ac:dyDescent="0.25">
      <c r="A178" s="2" t="s">
        <v>55</v>
      </c>
      <c r="B178" s="2" t="s">
        <v>401</v>
      </c>
      <c r="C178" s="2" t="s">
        <v>54</v>
      </c>
      <c r="D178" s="3">
        <v>3338</v>
      </c>
      <c r="E178" s="4">
        <v>153.85</v>
      </c>
      <c r="F178" s="4">
        <f t="shared" si="2"/>
        <v>513551.3</v>
      </c>
    </row>
    <row r="179" spans="1:6" x14ac:dyDescent="0.25">
      <c r="A179" s="7" t="s">
        <v>47</v>
      </c>
      <c r="B179" s="2" t="s">
        <v>400</v>
      </c>
      <c r="C179" s="7" t="s">
        <v>46</v>
      </c>
      <c r="D179" s="8">
        <v>3004</v>
      </c>
      <c r="E179" s="9">
        <v>182.01</v>
      </c>
      <c r="F179" s="9">
        <f t="shared" si="2"/>
        <v>546758.03999999992</v>
      </c>
    </row>
    <row r="180" spans="1:6" x14ac:dyDescent="0.25">
      <c r="A180" s="2" t="s">
        <v>91</v>
      </c>
      <c r="B180" s="2" t="s">
        <v>403</v>
      </c>
      <c r="C180" s="2" t="s">
        <v>90</v>
      </c>
      <c r="D180" s="3">
        <v>2945</v>
      </c>
      <c r="E180" s="4">
        <v>44.63</v>
      </c>
      <c r="F180" s="4">
        <f t="shared" si="2"/>
        <v>131435.35</v>
      </c>
    </row>
    <row r="181" spans="1:6" x14ac:dyDescent="0.25">
      <c r="A181" s="7" t="s">
        <v>61</v>
      </c>
      <c r="B181" s="2" t="s">
        <v>401</v>
      </c>
      <c r="C181" s="7" t="s">
        <v>60</v>
      </c>
      <c r="D181" s="8">
        <v>1893</v>
      </c>
      <c r="E181" s="9">
        <v>65.239999999999995</v>
      </c>
      <c r="F181" s="9">
        <f t="shared" si="2"/>
        <v>123499.31999999999</v>
      </c>
    </row>
    <row r="182" spans="1:6" x14ac:dyDescent="0.25">
      <c r="A182" s="2" t="s">
        <v>16</v>
      </c>
      <c r="B182" s="2" t="s">
        <v>402</v>
      </c>
      <c r="C182" s="2" t="s">
        <v>15</v>
      </c>
      <c r="D182" s="3">
        <v>4428</v>
      </c>
      <c r="E182" s="4">
        <v>55.52</v>
      </c>
      <c r="F182" s="4">
        <f t="shared" si="2"/>
        <v>245842.56000000003</v>
      </c>
    </row>
    <row r="183" spans="1:6" x14ac:dyDescent="0.25">
      <c r="A183" s="7" t="s">
        <v>47</v>
      </c>
      <c r="B183" s="2" t="s">
        <v>402</v>
      </c>
      <c r="C183" s="7" t="s">
        <v>46</v>
      </c>
      <c r="D183" s="8">
        <v>3444</v>
      </c>
      <c r="E183" s="9">
        <v>185.13</v>
      </c>
      <c r="F183" s="9">
        <f t="shared" si="2"/>
        <v>637587.72</v>
      </c>
    </row>
    <row r="184" spans="1:6" x14ac:dyDescent="0.25">
      <c r="A184" s="2" t="s">
        <v>47</v>
      </c>
      <c r="B184" s="7" t="s">
        <v>405</v>
      </c>
      <c r="C184" s="2" t="s">
        <v>46</v>
      </c>
      <c r="D184" s="3">
        <v>4994</v>
      </c>
      <c r="E184" s="4">
        <v>184.25</v>
      </c>
      <c r="F184" s="4">
        <f t="shared" si="2"/>
        <v>920144.5</v>
      </c>
    </row>
    <row r="185" spans="1:6" x14ac:dyDescent="0.25">
      <c r="A185" s="7" t="s">
        <v>32</v>
      </c>
      <c r="B185" s="2" t="s">
        <v>401</v>
      </c>
      <c r="C185" s="7" t="s">
        <v>31</v>
      </c>
      <c r="D185" s="8">
        <v>1393</v>
      </c>
      <c r="E185" s="9">
        <v>22.82</v>
      </c>
      <c r="F185" s="9">
        <f t="shared" si="2"/>
        <v>31788.260000000002</v>
      </c>
    </row>
    <row r="186" spans="1:6" x14ac:dyDescent="0.25">
      <c r="A186" s="2" t="s">
        <v>55</v>
      </c>
      <c r="B186" s="2" t="s">
        <v>403</v>
      </c>
      <c r="C186" s="2" t="s">
        <v>54</v>
      </c>
      <c r="D186" s="3">
        <v>2177</v>
      </c>
      <c r="E186" s="4">
        <v>155.32</v>
      </c>
      <c r="F186" s="4">
        <f t="shared" si="2"/>
        <v>338131.64</v>
      </c>
    </row>
    <row r="187" spans="1:6" x14ac:dyDescent="0.25">
      <c r="A187" s="7" t="s">
        <v>39</v>
      </c>
      <c r="B187" s="2" t="s">
        <v>400</v>
      </c>
      <c r="C187" s="7" t="s">
        <v>38</v>
      </c>
      <c r="D187" s="8">
        <v>1250</v>
      </c>
      <c r="E187" s="9">
        <v>35.450000000000003</v>
      </c>
      <c r="F187" s="9">
        <f t="shared" si="2"/>
        <v>44312.5</v>
      </c>
    </row>
    <row r="188" spans="1:6" x14ac:dyDescent="0.25">
      <c r="A188" s="2" t="s">
        <v>61</v>
      </c>
      <c r="B188" s="7" t="s">
        <v>405</v>
      </c>
      <c r="C188" s="2" t="s">
        <v>60</v>
      </c>
      <c r="D188" s="3">
        <v>3949</v>
      </c>
      <c r="E188" s="4">
        <v>63.5</v>
      </c>
      <c r="F188" s="4">
        <f t="shared" si="2"/>
        <v>250761.5</v>
      </c>
    </row>
    <row r="189" spans="1:6" x14ac:dyDescent="0.25">
      <c r="A189" s="7" t="s">
        <v>108</v>
      </c>
      <c r="B189" s="2" t="s">
        <v>403</v>
      </c>
      <c r="C189" s="7" t="s">
        <v>107</v>
      </c>
      <c r="D189" s="8">
        <v>2300</v>
      </c>
      <c r="E189" s="9">
        <v>8.7200000000000006</v>
      </c>
      <c r="F189" s="9">
        <f t="shared" si="2"/>
        <v>20056</v>
      </c>
    </row>
    <row r="190" spans="1:6" x14ac:dyDescent="0.25">
      <c r="A190" s="2" t="s">
        <v>16</v>
      </c>
      <c r="B190" s="2" t="s">
        <v>402</v>
      </c>
      <c r="C190" s="2" t="s">
        <v>15</v>
      </c>
      <c r="D190" s="3">
        <v>2195</v>
      </c>
      <c r="E190" s="4">
        <v>54.83</v>
      </c>
      <c r="F190" s="4">
        <f t="shared" si="2"/>
        <v>120351.84999999999</v>
      </c>
    </row>
    <row r="191" spans="1:6" x14ac:dyDescent="0.25">
      <c r="A191" s="7" t="s">
        <v>39</v>
      </c>
      <c r="B191" s="2" t="s">
        <v>401</v>
      </c>
      <c r="C191" s="7" t="s">
        <v>38</v>
      </c>
      <c r="D191" s="8">
        <v>3522</v>
      </c>
      <c r="E191" s="9">
        <v>33.729999999999997</v>
      </c>
      <c r="F191" s="9">
        <f t="shared" si="2"/>
        <v>118797.05999999998</v>
      </c>
    </row>
    <row r="192" spans="1:6" x14ac:dyDescent="0.25">
      <c r="A192" s="2" t="s">
        <v>69</v>
      </c>
      <c r="B192" s="2" t="s">
        <v>401</v>
      </c>
      <c r="C192" s="2" t="s">
        <v>68</v>
      </c>
      <c r="D192" s="3">
        <v>1495</v>
      </c>
      <c r="E192" s="4">
        <v>2417.41</v>
      </c>
      <c r="F192" s="4">
        <f t="shared" si="2"/>
        <v>3614027.9499999997</v>
      </c>
    </row>
    <row r="193" spans="1:6" x14ac:dyDescent="0.25">
      <c r="A193" s="7" t="s">
        <v>91</v>
      </c>
      <c r="B193" s="2" t="s">
        <v>401</v>
      </c>
      <c r="C193" s="7" t="s">
        <v>90</v>
      </c>
      <c r="D193" s="8">
        <v>2152</v>
      </c>
      <c r="E193" s="9">
        <v>45.03</v>
      </c>
      <c r="F193" s="9">
        <f t="shared" si="2"/>
        <v>96904.56</v>
      </c>
    </row>
    <row r="194" spans="1:6" x14ac:dyDescent="0.25">
      <c r="A194" s="2" t="s">
        <v>47</v>
      </c>
      <c r="B194" s="7" t="s">
        <v>405</v>
      </c>
      <c r="C194" s="2" t="s">
        <v>46</v>
      </c>
      <c r="D194" s="3">
        <v>1197</v>
      </c>
      <c r="E194" s="4">
        <v>185.04</v>
      </c>
      <c r="F194" s="4">
        <f t="shared" ref="F194:F201" si="3">D194*E194</f>
        <v>221492.88</v>
      </c>
    </row>
    <row r="195" spans="1:6" x14ac:dyDescent="0.25">
      <c r="A195" s="7" t="s">
        <v>55</v>
      </c>
      <c r="B195" s="2" t="s">
        <v>401</v>
      </c>
      <c r="C195" s="7" t="s">
        <v>54</v>
      </c>
      <c r="D195" s="8">
        <v>1074</v>
      </c>
      <c r="E195" s="9">
        <v>148.26</v>
      </c>
      <c r="F195" s="9">
        <f t="shared" si="3"/>
        <v>159231.24</v>
      </c>
    </row>
    <row r="196" spans="1:6" x14ac:dyDescent="0.25">
      <c r="A196" s="2" t="s">
        <v>91</v>
      </c>
      <c r="B196" s="2" t="s">
        <v>403</v>
      </c>
      <c r="C196" s="2" t="s">
        <v>90</v>
      </c>
      <c r="D196" s="3">
        <v>3372</v>
      </c>
      <c r="E196" s="4">
        <v>44.91</v>
      </c>
      <c r="F196" s="4">
        <f t="shared" si="3"/>
        <v>151436.51999999999</v>
      </c>
    </row>
    <row r="197" spans="1:6" x14ac:dyDescent="0.25">
      <c r="A197" s="7" t="s">
        <v>55</v>
      </c>
      <c r="B197" s="2" t="s">
        <v>401</v>
      </c>
      <c r="C197" s="7" t="s">
        <v>54</v>
      </c>
      <c r="D197" s="8">
        <v>3722</v>
      </c>
      <c r="E197" s="9">
        <v>144.32</v>
      </c>
      <c r="F197" s="9">
        <f t="shared" si="3"/>
        <v>537159.03999999992</v>
      </c>
    </row>
    <row r="198" spans="1:6" x14ac:dyDescent="0.25">
      <c r="A198" s="2" t="s">
        <v>47</v>
      </c>
      <c r="B198" s="2" t="s">
        <v>403</v>
      </c>
      <c r="C198" s="2" t="s">
        <v>46</v>
      </c>
      <c r="D198" s="3">
        <v>2056</v>
      </c>
      <c r="E198" s="4">
        <v>180.1</v>
      </c>
      <c r="F198" s="4">
        <f t="shared" si="3"/>
        <v>370285.6</v>
      </c>
    </row>
    <row r="199" spans="1:6" x14ac:dyDescent="0.25">
      <c r="A199" s="7" t="s">
        <v>69</v>
      </c>
      <c r="B199" s="2" t="s">
        <v>400</v>
      </c>
      <c r="C199" s="7" t="s">
        <v>68</v>
      </c>
      <c r="D199" s="8">
        <v>4323</v>
      </c>
      <c r="E199" s="9">
        <v>2453.1999999999998</v>
      </c>
      <c r="F199" s="9">
        <f t="shared" si="3"/>
        <v>10605183.6</v>
      </c>
    </row>
    <row r="200" spans="1:6" x14ac:dyDescent="0.25">
      <c r="A200" s="2" t="s">
        <v>55</v>
      </c>
      <c r="B200" s="2" t="s">
        <v>402</v>
      </c>
      <c r="C200" s="2" t="s">
        <v>54</v>
      </c>
      <c r="D200" s="3">
        <v>1392</v>
      </c>
      <c r="E200" s="4">
        <v>151.30000000000001</v>
      </c>
      <c r="F200" s="4">
        <f t="shared" si="3"/>
        <v>210609.6</v>
      </c>
    </row>
    <row r="201" spans="1:6" x14ac:dyDescent="0.25">
      <c r="A201" s="7" t="s">
        <v>91</v>
      </c>
      <c r="B201" s="2" t="s">
        <v>402</v>
      </c>
      <c r="C201" s="7" t="s">
        <v>90</v>
      </c>
      <c r="D201" s="8">
        <v>608</v>
      </c>
      <c r="E201" s="9">
        <v>45.3</v>
      </c>
      <c r="F201" s="9">
        <f t="shared" si="3"/>
        <v>27542.399999999998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DDCA-BE7E-4D5A-9A7A-79F72CA7D840}">
  <sheetPr codeName="Sheet2"/>
  <dimension ref="A1:E201"/>
  <sheetViews>
    <sheetView workbookViewId="0">
      <selection activeCell="F4" sqref="F4"/>
    </sheetView>
  </sheetViews>
  <sheetFormatPr defaultRowHeight="15" x14ac:dyDescent="0.25"/>
  <cols>
    <col min="1" max="1" width="12" bestFit="1" customWidth="1"/>
    <col min="2" max="2" width="23.42578125" bestFit="1" customWidth="1"/>
    <col min="3" max="3" width="20" bestFit="1" customWidth="1"/>
    <col min="4" max="4" width="10.5703125" bestFit="1" customWidth="1"/>
    <col min="5" max="5" width="9.7109375" customWidth="1"/>
    <col min="6" max="6" width="8.7109375" bestFit="1" customWidth="1"/>
  </cols>
  <sheetData>
    <row r="1" spans="1:5" ht="49.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373</v>
      </c>
    </row>
    <row r="2" spans="1:5" x14ac:dyDescent="0.25">
      <c r="A2" s="2" t="s">
        <v>14</v>
      </c>
      <c r="B2" s="12" t="str">
        <f>VLOOKUP(A2,'Cleaned Data'!A:S,2,FALSE)</f>
        <v>CMOS Image Sensor (CIS)</v>
      </c>
      <c r="C2" s="12">
        <f>VLOOKUP(B2,'Cleaned Data'!B:T,3,FALSE)</f>
        <v>2200</v>
      </c>
      <c r="D2" s="12">
        <f>VLOOKUP(A2,'Cleaned Data'!$A:$S,5,FALSE)</f>
        <v>145.72</v>
      </c>
      <c r="E2" s="12">
        <f>VLOOKUP(A2,'Cleaned Data'!$A:$S,6,FALSE)</f>
        <v>320584</v>
      </c>
    </row>
    <row r="3" spans="1:5" x14ac:dyDescent="0.25">
      <c r="A3" s="7" t="s">
        <v>23</v>
      </c>
      <c r="B3" s="12" t="str">
        <f>VLOOKUP(A3,'Cleaned Data'!A:S,2,FALSE)</f>
        <v>GaAs RF Power Amp</v>
      </c>
      <c r="C3" s="12">
        <f>VLOOKUP(B3,'Cleaned Data'!B:T,3,FALSE)</f>
        <v>2600</v>
      </c>
      <c r="D3" s="12">
        <f>VLOOKUP(A3,'Cleaned Data'!$A:$S,5,FALSE)</f>
        <v>310.19</v>
      </c>
      <c r="E3" s="12">
        <f>VLOOKUP(A3,'Cleaned Data'!$A:$S,6,FALSE)</f>
        <v>806494</v>
      </c>
    </row>
    <row r="4" spans="1:5" x14ac:dyDescent="0.25">
      <c r="A4" s="2" t="s">
        <v>30</v>
      </c>
      <c r="B4" s="12" t="str">
        <f>VLOOKUP(A4,'Cleaned Data'!A:S,2,FALSE)</f>
        <v>OLED Display Driver IC</v>
      </c>
      <c r="C4" s="12">
        <f>VLOOKUP(B4,'Cleaned Data'!B:T,3,FALSE)</f>
        <v>2900</v>
      </c>
      <c r="D4" s="12">
        <f>VLOOKUP(A4,'Cleaned Data'!$A:$S,5,FALSE)</f>
        <v>101.97</v>
      </c>
      <c r="E4" s="12">
        <f>VLOOKUP(A4,'Cleaned Data'!$A:$S,6,FALSE)</f>
        <v>295713</v>
      </c>
    </row>
    <row r="5" spans="1:5" x14ac:dyDescent="0.25">
      <c r="A5" s="7" t="s">
        <v>37</v>
      </c>
      <c r="B5" s="12" t="str">
        <f>VLOOKUP(A5,'Cleaned Data'!A:S,2,FALSE)</f>
        <v>Automotive MCU (16-bit)</v>
      </c>
      <c r="C5" s="12">
        <f>VLOOKUP(B5,'Cleaned Data'!B:T,3,FALSE)</f>
        <v>4400</v>
      </c>
      <c r="D5" s="12">
        <f>VLOOKUP(A5,'Cleaned Data'!$A:$S,5,FALSE)</f>
        <v>91.15</v>
      </c>
      <c r="E5" s="12">
        <f>VLOOKUP(A5,'Cleaned Data'!$A:$S,6,FALSE)</f>
        <v>401060</v>
      </c>
    </row>
    <row r="6" spans="1:5" x14ac:dyDescent="0.25">
      <c r="A6" s="2" t="s">
        <v>45</v>
      </c>
      <c r="B6" s="12" t="str">
        <f>VLOOKUP(A6,'Cleaned Data'!A:S,2,FALSE)</f>
        <v>IGBT Power Module</v>
      </c>
      <c r="C6" s="12">
        <f>VLOOKUP(B6,'Cleaned Data'!B:T,3,FALSE)</f>
        <v>3300</v>
      </c>
      <c r="D6" s="12">
        <f>VLOOKUP(A6,'Cleaned Data'!$A:$S,5,FALSE)</f>
        <v>135.15</v>
      </c>
      <c r="E6" s="12">
        <f>VLOOKUP(A6,'Cleaned Data'!$A:$S,6,FALSE)</f>
        <v>445995</v>
      </c>
    </row>
    <row r="7" spans="1:5" x14ac:dyDescent="0.25">
      <c r="A7" s="7" t="s">
        <v>53</v>
      </c>
      <c r="B7" s="12" t="str">
        <f>VLOOKUP(A7,'Cleaned Data'!A:S,2,FALSE)</f>
        <v>Silicon Wafer 300mm</v>
      </c>
      <c r="C7" s="12">
        <f>VLOOKUP(B7,'Cleaned Data'!B:T,3,FALSE)</f>
        <v>4650</v>
      </c>
      <c r="D7" s="12">
        <f>VLOOKUP(A7,'Cleaned Data'!$A:$S,5,FALSE)</f>
        <v>83.69</v>
      </c>
      <c r="E7" s="12">
        <f>VLOOKUP(A7,'Cleaned Data'!$A:$S,6,FALSE)</f>
        <v>389158.5</v>
      </c>
    </row>
    <row r="8" spans="1:5" x14ac:dyDescent="0.25">
      <c r="A8" s="2" t="s">
        <v>59</v>
      </c>
      <c r="B8" s="12" t="str">
        <f>VLOOKUP(A8,'Cleaned Data'!A:S,2,FALSE)</f>
        <v>GaN Fast Charger IC</v>
      </c>
      <c r="C8" s="12">
        <f>VLOOKUP(B8,'Cleaned Data'!B:T,3,FALSE)</f>
        <v>3850</v>
      </c>
      <c r="D8" s="12">
        <f>VLOOKUP(A8,'Cleaned Data'!$A:$S,5,FALSE)</f>
        <v>303.77999999999997</v>
      </c>
      <c r="E8" s="12">
        <f>VLOOKUP(A8,'Cleaned Data'!$A:$S,6,FALSE)</f>
        <v>1169553</v>
      </c>
    </row>
    <row r="9" spans="1:5" x14ac:dyDescent="0.25">
      <c r="A9" s="7" t="s">
        <v>37</v>
      </c>
      <c r="B9" s="12" t="str">
        <f>VLOOKUP(A9,'Cleaned Data'!A:S,2,FALSE)</f>
        <v>Automotive MCU (16-bit)</v>
      </c>
      <c r="C9" s="12">
        <f>VLOOKUP(B9,'Cleaned Data'!B:T,3,FALSE)</f>
        <v>4400</v>
      </c>
      <c r="D9" s="12">
        <f>VLOOKUP(A9,'Cleaned Data'!$A:$S,5,FALSE)</f>
        <v>91.15</v>
      </c>
      <c r="E9" s="12">
        <f>VLOOKUP(A9,'Cleaned Data'!$A:$S,6,FALSE)</f>
        <v>401060</v>
      </c>
    </row>
    <row r="10" spans="1:5" x14ac:dyDescent="0.25">
      <c r="A10" s="2" t="s">
        <v>67</v>
      </c>
      <c r="B10" s="12" t="str">
        <f>VLOOKUP(A10,'Cleaned Data'!A:S,2,FALSE)</f>
        <v>AI Accelerator GPU</v>
      </c>
      <c r="C10" s="12">
        <f>VLOOKUP(B10,'Cleaned Data'!B:T,3,FALSE)</f>
        <v>2100</v>
      </c>
      <c r="D10" s="12">
        <f>VLOOKUP(A10,'Cleaned Data'!$A:$S,5,FALSE)</f>
        <v>428.05</v>
      </c>
      <c r="E10" s="12">
        <f>VLOOKUP(A10,'Cleaned Data'!$A:$S,6,FALSE)</f>
        <v>898905</v>
      </c>
    </row>
    <row r="11" spans="1:5" x14ac:dyDescent="0.25">
      <c r="A11" s="7" t="s">
        <v>59</v>
      </c>
      <c r="B11" s="12" t="str">
        <f>VLOOKUP(A11,'Cleaned Data'!A:S,2,FALSE)</f>
        <v>GaN Fast Charger IC</v>
      </c>
      <c r="C11" s="12">
        <f>VLOOKUP(B11,'Cleaned Data'!B:T,3,FALSE)</f>
        <v>3850</v>
      </c>
      <c r="D11" s="12">
        <f>VLOOKUP(A11,'Cleaned Data'!$A:$S,5,FALSE)</f>
        <v>303.77999999999997</v>
      </c>
      <c r="E11" s="12">
        <f>VLOOKUP(A11,'Cleaned Data'!$A:$S,6,FALSE)</f>
        <v>1169553</v>
      </c>
    </row>
    <row r="12" spans="1:5" x14ac:dyDescent="0.25">
      <c r="A12" s="2" t="s">
        <v>23</v>
      </c>
      <c r="B12" s="12" t="str">
        <f>VLOOKUP(A12,'Cleaned Data'!A:S,2,FALSE)</f>
        <v>GaAs RF Power Amp</v>
      </c>
      <c r="C12" s="12">
        <f>VLOOKUP(B12,'Cleaned Data'!B:T,3,FALSE)</f>
        <v>2600</v>
      </c>
      <c r="D12" s="12">
        <f>VLOOKUP(A12,'Cleaned Data'!$A:$S,5,FALSE)</f>
        <v>310.19</v>
      </c>
      <c r="E12" s="12">
        <f>VLOOKUP(A12,'Cleaned Data'!$A:$S,6,FALSE)</f>
        <v>806494</v>
      </c>
    </row>
    <row r="13" spans="1:5" x14ac:dyDescent="0.25">
      <c r="A13" s="7" t="s">
        <v>59</v>
      </c>
      <c r="B13" s="12" t="str">
        <f>VLOOKUP(A13,'Cleaned Data'!A:S,2,FALSE)</f>
        <v>GaN Fast Charger IC</v>
      </c>
      <c r="C13" s="12">
        <f>VLOOKUP(B13,'Cleaned Data'!B:T,3,FALSE)</f>
        <v>3850</v>
      </c>
      <c r="D13" s="12">
        <f>VLOOKUP(A13,'Cleaned Data'!$A:$S,5,FALSE)</f>
        <v>303.77999999999997</v>
      </c>
      <c r="E13" s="12">
        <f>VLOOKUP(A13,'Cleaned Data'!$A:$S,6,FALSE)</f>
        <v>1169553</v>
      </c>
    </row>
    <row r="14" spans="1:5" x14ac:dyDescent="0.25">
      <c r="A14" s="2" t="s">
        <v>30</v>
      </c>
      <c r="B14" s="12" t="str">
        <f>VLOOKUP(A14,'Cleaned Data'!A:S,2,FALSE)</f>
        <v>OLED Display Driver IC</v>
      </c>
      <c r="C14" s="12">
        <f>VLOOKUP(B14,'Cleaned Data'!B:T,3,FALSE)</f>
        <v>2900</v>
      </c>
      <c r="D14" s="12">
        <f>VLOOKUP(A14,'Cleaned Data'!$A:$S,5,FALSE)</f>
        <v>101.97</v>
      </c>
      <c r="E14" s="12">
        <f>VLOOKUP(A14,'Cleaned Data'!$A:$S,6,FALSE)</f>
        <v>295713</v>
      </c>
    </row>
    <row r="15" spans="1:5" x14ac:dyDescent="0.25">
      <c r="A15" s="7" t="s">
        <v>30</v>
      </c>
      <c r="B15" s="12" t="str">
        <f>VLOOKUP(A15,'Cleaned Data'!A:S,2,FALSE)</f>
        <v>OLED Display Driver IC</v>
      </c>
      <c r="C15" s="12">
        <f>VLOOKUP(B15,'Cleaned Data'!B:T,3,FALSE)</f>
        <v>2900</v>
      </c>
      <c r="D15" s="12">
        <f>VLOOKUP(A15,'Cleaned Data'!$A:$S,5,FALSE)</f>
        <v>101.97</v>
      </c>
      <c r="E15" s="12">
        <f>VLOOKUP(A15,'Cleaned Data'!$A:$S,6,FALSE)</f>
        <v>295713</v>
      </c>
    </row>
    <row r="16" spans="1:5" x14ac:dyDescent="0.25">
      <c r="A16" s="2" t="s">
        <v>23</v>
      </c>
      <c r="B16" s="12" t="str">
        <f>VLOOKUP(A16,'Cleaned Data'!A:S,2,FALSE)</f>
        <v>GaAs RF Power Amp</v>
      </c>
      <c r="C16" s="12">
        <f>VLOOKUP(B16,'Cleaned Data'!B:T,3,FALSE)</f>
        <v>2600</v>
      </c>
      <c r="D16" s="12">
        <f>VLOOKUP(A16,'Cleaned Data'!$A:$S,5,FALSE)</f>
        <v>310.19</v>
      </c>
      <c r="E16" s="12">
        <f>VLOOKUP(A16,'Cleaned Data'!$A:$S,6,FALSE)</f>
        <v>806494</v>
      </c>
    </row>
    <row r="17" spans="1:5" x14ac:dyDescent="0.25">
      <c r="A17" s="7" t="s">
        <v>89</v>
      </c>
      <c r="B17" s="12" t="str">
        <f>VLOOKUP(A17,'Cleaned Data'!A:S,2,FALSE)</f>
        <v>NAND Flash 3D 128-Layer</v>
      </c>
      <c r="C17" s="12">
        <f>VLOOKUP(B17,'Cleaned Data'!B:T,3,FALSE)</f>
        <v>4750</v>
      </c>
      <c r="D17" s="12">
        <f>VLOOKUP(A17,'Cleaned Data'!$A:$S,5,FALSE)</f>
        <v>113.1</v>
      </c>
      <c r="E17" s="12">
        <f>VLOOKUP(A17,'Cleaned Data'!$A:$S,6,FALSE)</f>
        <v>537225</v>
      </c>
    </row>
    <row r="18" spans="1:5" x14ac:dyDescent="0.25">
      <c r="A18" s="2" t="s">
        <v>59</v>
      </c>
      <c r="B18" s="12" t="str">
        <f>VLOOKUP(A18,'Cleaned Data'!A:S,2,FALSE)</f>
        <v>GaN Fast Charger IC</v>
      </c>
      <c r="C18" s="12">
        <f>VLOOKUP(B18,'Cleaned Data'!B:T,3,FALSE)</f>
        <v>3850</v>
      </c>
      <c r="D18" s="12">
        <f>VLOOKUP(A18,'Cleaned Data'!$A:$S,5,FALSE)</f>
        <v>303.77999999999997</v>
      </c>
      <c r="E18" s="12">
        <f>VLOOKUP(A18,'Cleaned Data'!$A:$S,6,FALSE)</f>
        <v>1169553</v>
      </c>
    </row>
    <row r="19" spans="1:5" x14ac:dyDescent="0.25">
      <c r="A19" s="7" t="s">
        <v>67</v>
      </c>
      <c r="B19" s="12" t="str">
        <f>VLOOKUP(A19,'Cleaned Data'!A:S,2,FALSE)</f>
        <v>AI Accelerator GPU</v>
      </c>
      <c r="C19" s="12">
        <f>VLOOKUP(B19,'Cleaned Data'!B:T,3,FALSE)</f>
        <v>2100</v>
      </c>
      <c r="D19" s="12">
        <f>VLOOKUP(A19,'Cleaned Data'!$A:$S,5,FALSE)</f>
        <v>428.05</v>
      </c>
      <c r="E19" s="12">
        <f>VLOOKUP(A19,'Cleaned Data'!$A:$S,6,FALSE)</f>
        <v>898905</v>
      </c>
    </row>
    <row r="20" spans="1:5" x14ac:dyDescent="0.25">
      <c r="A20" s="2" t="s">
        <v>45</v>
      </c>
      <c r="B20" s="12" t="str">
        <f>VLOOKUP(A20,'Cleaned Data'!A:S,2,FALSE)</f>
        <v>IGBT Power Module</v>
      </c>
      <c r="C20" s="12">
        <f>VLOOKUP(B20,'Cleaned Data'!B:T,3,FALSE)</f>
        <v>3300</v>
      </c>
      <c r="D20" s="12">
        <f>VLOOKUP(A20,'Cleaned Data'!$A:$S,5,FALSE)</f>
        <v>135.15</v>
      </c>
      <c r="E20" s="12">
        <f>VLOOKUP(A20,'Cleaned Data'!$A:$S,6,FALSE)</f>
        <v>445995</v>
      </c>
    </row>
    <row r="21" spans="1:5" x14ac:dyDescent="0.25">
      <c r="A21" s="7" t="s">
        <v>30</v>
      </c>
      <c r="B21" s="12" t="str">
        <f>VLOOKUP(A21,'Cleaned Data'!A:S,2,FALSE)</f>
        <v>OLED Display Driver IC</v>
      </c>
      <c r="C21" s="12">
        <f>VLOOKUP(B21,'Cleaned Data'!B:T,3,FALSE)</f>
        <v>2900</v>
      </c>
      <c r="D21" s="12">
        <f>VLOOKUP(A21,'Cleaned Data'!$A:$S,5,FALSE)</f>
        <v>101.97</v>
      </c>
      <c r="E21" s="12">
        <f>VLOOKUP(A21,'Cleaned Data'!$A:$S,6,FALSE)</f>
        <v>295713</v>
      </c>
    </row>
    <row r="22" spans="1:5" x14ac:dyDescent="0.25">
      <c r="A22" s="2" t="s">
        <v>89</v>
      </c>
      <c r="B22" s="12" t="str">
        <f>VLOOKUP(A22,'Cleaned Data'!A:S,2,FALSE)</f>
        <v>NAND Flash 3D 128-Layer</v>
      </c>
      <c r="C22" s="12">
        <f>VLOOKUP(B22,'Cleaned Data'!B:T,3,FALSE)</f>
        <v>4750</v>
      </c>
      <c r="D22" s="12">
        <f>VLOOKUP(A22,'Cleaned Data'!$A:$S,5,FALSE)</f>
        <v>113.1</v>
      </c>
      <c r="E22" s="12">
        <f>VLOOKUP(A22,'Cleaned Data'!$A:$S,6,FALSE)</f>
        <v>537225</v>
      </c>
    </row>
    <row r="23" spans="1:5" x14ac:dyDescent="0.25">
      <c r="A23" s="7" t="s">
        <v>106</v>
      </c>
      <c r="B23" s="12" t="str">
        <f>VLOOKUP(A23,'Cleaned Data'!A:S,2,FALSE)</f>
        <v>MEMS Pressure Sensor</v>
      </c>
      <c r="C23" s="12">
        <f>VLOOKUP(B23,'Cleaned Data'!B:T,3,FALSE)</f>
        <v>4050</v>
      </c>
      <c r="D23" s="12">
        <f>VLOOKUP(A23,'Cleaned Data'!$A:$S,5,FALSE)</f>
        <v>217.44</v>
      </c>
      <c r="E23" s="12">
        <f>VLOOKUP(A23,'Cleaned Data'!$A:$S,6,FALSE)</f>
        <v>880632</v>
      </c>
    </row>
    <row r="24" spans="1:5" x14ac:dyDescent="0.25">
      <c r="A24" s="2" t="s">
        <v>45</v>
      </c>
      <c r="B24" s="12" t="str">
        <f>VLOOKUP(A24,'Cleaned Data'!A:S,2,FALSE)</f>
        <v>IGBT Power Module</v>
      </c>
      <c r="C24" s="12">
        <f>VLOOKUP(B24,'Cleaned Data'!B:T,3,FALSE)</f>
        <v>3300</v>
      </c>
      <c r="D24" s="12">
        <f>VLOOKUP(A24,'Cleaned Data'!$A:$S,5,FALSE)</f>
        <v>135.15</v>
      </c>
      <c r="E24" s="12">
        <f>VLOOKUP(A24,'Cleaned Data'!$A:$S,6,FALSE)</f>
        <v>445995</v>
      </c>
    </row>
    <row r="25" spans="1:5" x14ac:dyDescent="0.25">
      <c r="A25" s="7" t="s">
        <v>53</v>
      </c>
      <c r="B25" s="12" t="str">
        <f>VLOOKUP(A25,'Cleaned Data'!A:S,2,FALSE)</f>
        <v>Silicon Wafer 300mm</v>
      </c>
      <c r="C25" s="12">
        <f>VLOOKUP(B25,'Cleaned Data'!B:T,3,FALSE)</f>
        <v>4650</v>
      </c>
      <c r="D25" s="12">
        <f>VLOOKUP(A25,'Cleaned Data'!$A:$S,5,FALSE)</f>
        <v>83.69</v>
      </c>
      <c r="E25" s="12">
        <f>VLOOKUP(A25,'Cleaned Data'!$A:$S,6,FALSE)</f>
        <v>389158.5</v>
      </c>
    </row>
    <row r="26" spans="1:5" x14ac:dyDescent="0.25">
      <c r="A26" s="2" t="s">
        <v>23</v>
      </c>
      <c r="B26" s="12" t="str">
        <f>VLOOKUP(A26,'Cleaned Data'!A:S,2,FALSE)</f>
        <v>GaAs RF Power Amp</v>
      </c>
      <c r="C26" s="12">
        <f>VLOOKUP(B26,'Cleaned Data'!B:T,3,FALSE)</f>
        <v>2600</v>
      </c>
      <c r="D26" s="12">
        <f>VLOOKUP(A26,'Cleaned Data'!$A:$S,5,FALSE)</f>
        <v>310.19</v>
      </c>
      <c r="E26" s="12">
        <f>VLOOKUP(A26,'Cleaned Data'!$A:$S,6,FALSE)</f>
        <v>806494</v>
      </c>
    </row>
    <row r="27" spans="1:5" x14ac:dyDescent="0.25">
      <c r="A27" s="7" t="s">
        <v>59</v>
      </c>
      <c r="B27" s="12" t="str">
        <f>VLOOKUP(A27,'Cleaned Data'!A:S,2,FALSE)</f>
        <v>GaN Fast Charger IC</v>
      </c>
      <c r="C27" s="12">
        <f>VLOOKUP(B27,'Cleaned Data'!B:T,3,FALSE)</f>
        <v>3850</v>
      </c>
      <c r="D27" s="12">
        <f>VLOOKUP(A27,'Cleaned Data'!$A:$S,5,FALSE)</f>
        <v>303.77999999999997</v>
      </c>
      <c r="E27" s="12">
        <f>VLOOKUP(A27,'Cleaned Data'!$A:$S,6,FALSE)</f>
        <v>1169553</v>
      </c>
    </row>
    <row r="28" spans="1:5" x14ac:dyDescent="0.25">
      <c r="A28" s="2" t="s">
        <v>89</v>
      </c>
      <c r="B28" s="12" t="str">
        <f>VLOOKUP(A28,'Cleaned Data'!A:S,2,FALSE)</f>
        <v>NAND Flash 3D 128-Layer</v>
      </c>
      <c r="C28" s="12">
        <f>VLOOKUP(B28,'Cleaned Data'!B:T,3,FALSE)</f>
        <v>4750</v>
      </c>
      <c r="D28" s="12">
        <f>VLOOKUP(A28,'Cleaned Data'!$A:$S,5,FALSE)</f>
        <v>113.1</v>
      </c>
      <c r="E28" s="12">
        <f>VLOOKUP(A28,'Cleaned Data'!$A:$S,6,FALSE)</f>
        <v>537225</v>
      </c>
    </row>
    <row r="29" spans="1:5" x14ac:dyDescent="0.25">
      <c r="A29" s="7" t="s">
        <v>23</v>
      </c>
      <c r="B29" s="12" t="str">
        <f>VLOOKUP(A29,'Cleaned Data'!A:S,2,FALSE)</f>
        <v>GaAs RF Power Amp</v>
      </c>
      <c r="C29" s="12">
        <f>VLOOKUP(B29,'Cleaned Data'!B:T,3,FALSE)</f>
        <v>2600</v>
      </c>
      <c r="D29" s="12">
        <f>VLOOKUP(A29,'Cleaned Data'!$A:$S,5,FALSE)</f>
        <v>310.19</v>
      </c>
      <c r="E29" s="12">
        <f>VLOOKUP(A29,'Cleaned Data'!$A:$S,6,FALSE)</f>
        <v>806494</v>
      </c>
    </row>
    <row r="30" spans="1:5" x14ac:dyDescent="0.25">
      <c r="A30" s="2" t="s">
        <v>14</v>
      </c>
      <c r="B30" s="12" t="str">
        <f>VLOOKUP(A30,'Cleaned Data'!A:S,2,FALSE)</f>
        <v>CMOS Image Sensor (CIS)</v>
      </c>
      <c r="C30" s="12">
        <f>VLOOKUP(B30,'Cleaned Data'!B:T,3,FALSE)</f>
        <v>2200</v>
      </c>
      <c r="D30" s="12">
        <f>VLOOKUP(A30,'Cleaned Data'!$A:$S,5,FALSE)</f>
        <v>145.72</v>
      </c>
      <c r="E30" s="12">
        <f>VLOOKUP(A30,'Cleaned Data'!$A:$S,6,FALSE)</f>
        <v>320584</v>
      </c>
    </row>
    <row r="31" spans="1:5" x14ac:dyDescent="0.25">
      <c r="A31" s="7" t="s">
        <v>14</v>
      </c>
      <c r="B31" s="12" t="str">
        <f>VLOOKUP(A31,'Cleaned Data'!A:S,2,FALSE)</f>
        <v>CMOS Image Sensor (CIS)</v>
      </c>
      <c r="C31" s="12">
        <f>VLOOKUP(B31,'Cleaned Data'!B:T,3,FALSE)</f>
        <v>2200</v>
      </c>
      <c r="D31" s="12">
        <f>VLOOKUP(A31,'Cleaned Data'!$A:$S,5,FALSE)</f>
        <v>145.72</v>
      </c>
      <c r="E31" s="12">
        <f>VLOOKUP(A31,'Cleaned Data'!$A:$S,6,FALSE)</f>
        <v>320584</v>
      </c>
    </row>
    <row r="32" spans="1:5" x14ac:dyDescent="0.25">
      <c r="A32" s="2" t="s">
        <v>53</v>
      </c>
      <c r="B32" s="12" t="str">
        <f>VLOOKUP(A32,'Cleaned Data'!A:S,2,FALSE)</f>
        <v>Silicon Wafer 300mm</v>
      </c>
      <c r="C32" s="12">
        <f>VLOOKUP(B32,'Cleaned Data'!B:T,3,FALSE)</f>
        <v>4650</v>
      </c>
      <c r="D32" s="12">
        <f>VLOOKUP(A32,'Cleaned Data'!$A:$S,5,FALSE)</f>
        <v>83.69</v>
      </c>
      <c r="E32" s="12">
        <f>VLOOKUP(A32,'Cleaned Data'!$A:$S,6,FALSE)</f>
        <v>389158.5</v>
      </c>
    </row>
    <row r="33" spans="1:5" x14ac:dyDescent="0.25">
      <c r="A33" s="7" t="s">
        <v>53</v>
      </c>
      <c r="B33" s="12" t="str">
        <f>VLOOKUP(A33,'Cleaned Data'!A:S,2,FALSE)</f>
        <v>Silicon Wafer 300mm</v>
      </c>
      <c r="C33" s="12">
        <f>VLOOKUP(B33,'Cleaned Data'!B:T,3,FALSE)</f>
        <v>4650</v>
      </c>
      <c r="D33" s="12">
        <f>VLOOKUP(A33,'Cleaned Data'!$A:$S,5,FALSE)</f>
        <v>83.69</v>
      </c>
      <c r="E33" s="12">
        <f>VLOOKUP(A33,'Cleaned Data'!$A:$S,6,FALSE)</f>
        <v>389158.5</v>
      </c>
    </row>
    <row r="34" spans="1:5" x14ac:dyDescent="0.25">
      <c r="A34" s="2" t="s">
        <v>53</v>
      </c>
      <c r="B34" s="12" t="str">
        <f>VLOOKUP(A34,'Cleaned Data'!A:S,2,FALSE)</f>
        <v>Silicon Wafer 300mm</v>
      </c>
      <c r="C34" s="12">
        <f>VLOOKUP(B34,'Cleaned Data'!B:T,3,FALSE)</f>
        <v>4650</v>
      </c>
      <c r="D34" s="12">
        <f>VLOOKUP(A34,'Cleaned Data'!$A:$S,5,FALSE)</f>
        <v>83.69</v>
      </c>
      <c r="E34" s="12">
        <f>VLOOKUP(A34,'Cleaned Data'!$A:$S,6,FALSE)</f>
        <v>389158.5</v>
      </c>
    </row>
    <row r="35" spans="1:5" x14ac:dyDescent="0.25">
      <c r="A35" s="7" t="s">
        <v>30</v>
      </c>
      <c r="B35" s="12" t="str">
        <f>VLOOKUP(A35,'Cleaned Data'!A:S,2,FALSE)</f>
        <v>OLED Display Driver IC</v>
      </c>
      <c r="C35" s="12">
        <f>VLOOKUP(B35,'Cleaned Data'!B:T,3,FALSE)</f>
        <v>2900</v>
      </c>
      <c r="D35" s="12">
        <f>VLOOKUP(A35,'Cleaned Data'!$A:$S,5,FALSE)</f>
        <v>101.97</v>
      </c>
      <c r="E35" s="12">
        <f>VLOOKUP(A35,'Cleaned Data'!$A:$S,6,FALSE)</f>
        <v>295713</v>
      </c>
    </row>
    <row r="36" spans="1:5" x14ac:dyDescent="0.25">
      <c r="A36" s="2" t="s">
        <v>23</v>
      </c>
      <c r="B36" s="12" t="str">
        <f>VLOOKUP(A36,'Cleaned Data'!A:S,2,FALSE)</f>
        <v>GaAs RF Power Amp</v>
      </c>
      <c r="C36" s="12">
        <f>VLOOKUP(B36,'Cleaned Data'!B:T,3,FALSE)</f>
        <v>2600</v>
      </c>
      <c r="D36" s="12">
        <f>VLOOKUP(A36,'Cleaned Data'!$A:$S,5,FALSE)</f>
        <v>310.19</v>
      </c>
      <c r="E36" s="12">
        <f>VLOOKUP(A36,'Cleaned Data'!$A:$S,6,FALSE)</f>
        <v>806494</v>
      </c>
    </row>
    <row r="37" spans="1:5" x14ac:dyDescent="0.25">
      <c r="A37" s="7" t="s">
        <v>37</v>
      </c>
      <c r="B37" s="12" t="str">
        <f>VLOOKUP(A37,'Cleaned Data'!A:S,2,FALSE)</f>
        <v>Automotive MCU (16-bit)</v>
      </c>
      <c r="C37" s="12">
        <f>VLOOKUP(B37,'Cleaned Data'!B:T,3,FALSE)</f>
        <v>4400</v>
      </c>
      <c r="D37" s="12">
        <f>VLOOKUP(A37,'Cleaned Data'!$A:$S,5,FALSE)</f>
        <v>91.15</v>
      </c>
      <c r="E37" s="12">
        <f>VLOOKUP(A37,'Cleaned Data'!$A:$S,6,FALSE)</f>
        <v>401060</v>
      </c>
    </row>
    <row r="38" spans="1:5" x14ac:dyDescent="0.25">
      <c r="A38" s="2" t="s">
        <v>106</v>
      </c>
      <c r="B38" s="12" t="str">
        <f>VLOOKUP(A38,'Cleaned Data'!A:S,2,FALSE)</f>
        <v>MEMS Pressure Sensor</v>
      </c>
      <c r="C38" s="12">
        <f>VLOOKUP(B38,'Cleaned Data'!B:T,3,FALSE)</f>
        <v>4050</v>
      </c>
      <c r="D38" s="12">
        <f>VLOOKUP(A38,'Cleaned Data'!$A:$S,5,FALSE)</f>
        <v>217.44</v>
      </c>
      <c r="E38" s="12">
        <f>VLOOKUP(A38,'Cleaned Data'!$A:$S,6,FALSE)</f>
        <v>880632</v>
      </c>
    </row>
    <row r="39" spans="1:5" x14ac:dyDescent="0.25">
      <c r="A39" s="7" t="s">
        <v>37</v>
      </c>
      <c r="B39" s="12" t="str">
        <f>VLOOKUP(A39,'Cleaned Data'!A:S,2,FALSE)</f>
        <v>Automotive MCU (16-bit)</v>
      </c>
      <c r="C39" s="12">
        <f>VLOOKUP(B39,'Cleaned Data'!B:T,3,FALSE)</f>
        <v>4400</v>
      </c>
      <c r="D39" s="12">
        <f>VLOOKUP(A39,'Cleaned Data'!$A:$S,5,FALSE)</f>
        <v>91.15</v>
      </c>
      <c r="E39" s="12">
        <f>VLOOKUP(A39,'Cleaned Data'!$A:$S,6,FALSE)</f>
        <v>401060</v>
      </c>
    </row>
    <row r="40" spans="1:5" x14ac:dyDescent="0.25">
      <c r="A40" s="2" t="s">
        <v>67</v>
      </c>
      <c r="B40" s="12" t="str">
        <f>VLOOKUP(A40,'Cleaned Data'!A:S,2,FALSE)</f>
        <v>AI Accelerator GPU</v>
      </c>
      <c r="C40" s="12">
        <f>VLOOKUP(B40,'Cleaned Data'!B:T,3,FALSE)</f>
        <v>2100</v>
      </c>
      <c r="D40" s="12">
        <f>VLOOKUP(A40,'Cleaned Data'!$A:$S,5,FALSE)</f>
        <v>428.05</v>
      </c>
      <c r="E40" s="12">
        <f>VLOOKUP(A40,'Cleaned Data'!$A:$S,6,FALSE)</f>
        <v>898905</v>
      </c>
    </row>
    <row r="41" spans="1:5" x14ac:dyDescent="0.25">
      <c r="A41" s="7" t="s">
        <v>23</v>
      </c>
      <c r="B41" s="12" t="str">
        <f>VLOOKUP(A41,'Cleaned Data'!A:S,2,FALSE)</f>
        <v>GaAs RF Power Amp</v>
      </c>
      <c r="C41" s="12">
        <f>VLOOKUP(B41,'Cleaned Data'!B:T,3,FALSE)</f>
        <v>2600</v>
      </c>
      <c r="D41" s="12">
        <f>VLOOKUP(A41,'Cleaned Data'!$A:$S,5,FALSE)</f>
        <v>310.19</v>
      </c>
      <c r="E41" s="12">
        <f>VLOOKUP(A41,'Cleaned Data'!$A:$S,6,FALSE)</f>
        <v>806494</v>
      </c>
    </row>
    <row r="42" spans="1:5" x14ac:dyDescent="0.25">
      <c r="A42" s="2" t="s">
        <v>59</v>
      </c>
      <c r="B42" s="12" t="str">
        <f>VLOOKUP(A42,'Cleaned Data'!A:S,2,FALSE)</f>
        <v>GaN Fast Charger IC</v>
      </c>
      <c r="C42" s="12">
        <f>VLOOKUP(B42,'Cleaned Data'!B:T,3,FALSE)</f>
        <v>3850</v>
      </c>
      <c r="D42" s="12">
        <f>VLOOKUP(A42,'Cleaned Data'!$A:$S,5,FALSE)</f>
        <v>303.77999999999997</v>
      </c>
      <c r="E42" s="12">
        <f>VLOOKUP(A42,'Cleaned Data'!$A:$S,6,FALSE)</f>
        <v>1169553</v>
      </c>
    </row>
    <row r="43" spans="1:5" x14ac:dyDescent="0.25">
      <c r="A43" s="7" t="s">
        <v>14</v>
      </c>
      <c r="B43" s="12" t="str">
        <f>VLOOKUP(A43,'Cleaned Data'!A:S,2,FALSE)</f>
        <v>CMOS Image Sensor (CIS)</v>
      </c>
      <c r="C43" s="12">
        <f>VLOOKUP(B43,'Cleaned Data'!B:T,3,FALSE)</f>
        <v>2200</v>
      </c>
      <c r="D43" s="12">
        <f>VLOOKUP(A43,'Cleaned Data'!$A:$S,5,FALSE)</f>
        <v>145.72</v>
      </c>
      <c r="E43" s="12">
        <f>VLOOKUP(A43,'Cleaned Data'!$A:$S,6,FALSE)</f>
        <v>320584</v>
      </c>
    </row>
    <row r="44" spans="1:5" x14ac:dyDescent="0.25">
      <c r="A44" s="2" t="s">
        <v>30</v>
      </c>
      <c r="B44" s="12" t="str">
        <f>VLOOKUP(A44,'Cleaned Data'!A:S,2,FALSE)</f>
        <v>OLED Display Driver IC</v>
      </c>
      <c r="C44" s="12">
        <f>VLOOKUP(B44,'Cleaned Data'!B:T,3,FALSE)</f>
        <v>2900</v>
      </c>
      <c r="D44" s="12">
        <f>VLOOKUP(A44,'Cleaned Data'!$A:$S,5,FALSE)</f>
        <v>101.97</v>
      </c>
      <c r="E44" s="12">
        <f>VLOOKUP(A44,'Cleaned Data'!$A:$S,6,FALSE)</f>
        <v>295713</v>
      </c>
    </row>
    <row r="45" spans="1:5" x14ac:dyDescent="0.25">
      <c r="A45" s="7" t="s">
        <v>45</v>
      </c>
      <c r="B45" s="12" t="str">
        <f>VLOOKUP(A45,'Cleaned Data'!A:S,2,FALSE)</f>
        <v>IGBT Power Module</v>
      </c>
      <c r="C45" s="12">
        <f>VLOOKUP(B45,'Cleaned Data'!B:T,3,FALSE)</f>
        <v>3300</v>
      </c>
      <c r="D45" s="12">
        <f>VLOOKUP(A45,'Cleaned Data'!$A:$S,5,FALSE)</f>
        <v>135.15</v>
      </c>
      <c r="E45" s="12">
        <f>VLOOKUP(A45,'Cleaned Data'!$A:$S,6,FALSE)</f>
        <v>445995</v>
      </c>
    </row>
    <row r="46" spans="1:5" x14ac:dyDescent="0.25">
      <c r="A46" s="2" t="s">
        <v>89</v>
      </c>
      <c r="B46" s="12" t="str">
        <f>VLOOKUP(A46,'Cleaned Data'!A:S,2,FALSE)</f>
        <v>NAND Flash 3D 128-Layer</v>
      </c>
      <c r="C46" s="12">
        <f>VLOOKUP(B46,'Cleaned Data'!B:T,3,FALSE)</f>
        <v>4750</v>
      </c>
      <c r="D46" s="12">
        <f>VLOOKUP(A46,'Cleaned Data'!$A:$S,5,FALSE)</f>
        <v>113.1</v>
      </c>
      <c r="E46" s="12">
        <f>VLOOKUP(A46,'Cleaned Data'!$A:$S,6,FALSE)</f>
        <v>537225</v>
      </c>
    </row>
    <row r="47" spans="1:5" x14ac:dyDescent="0.25">
      <c r="A47" s="7" t="s">
        <v>30</v>
      </c>
      <c r="B47" s="12" t="str">
        <f>VLOOKUP(A47,'Cleaned Data'!A:S,2,FALSE)</f>
        <v>OLED Display Driver IC</v>
      </c>
      <c r="C47" s="12">
        <f>VLOOKUP(B47,'Cleaned Data'!B:T,3,FALSE)</f>
        <v>2900</v>
      </c>
      <c r="D47" s="12">
        <f>VLOOKUP(A47,'Cleaned Data'!$A:$S,5,FALSE)</f>
        <v>101.97</v>
      </c>
      <c r="E47" s="12">
        <f>VLOOKUP(A47,'Cleaned Data'!$A:$S,6,FALSE)</f>
        <v>295713</v>
      </c>
    </row>
    <row r="48" spans="1:5" x14ac:dyDescent="0.25">
      <c r="A48" s="2" t="s">
        <v>14</v>
      </c>
      <c r="B48" s="12" t="str">
        <f>VLOOKUP(A48,'Cleaned Data'!A:S,2,FALSE)</f>
        <v>CMOS Image Sensor (CIS)</v>
      </c>
      <c r="C48" s="12">
        <f>VLOOKUP(B48,'Cleaned Data'!B:T,3,FALSE)</f>
        <v>2200</v>
      </c>
      <c r="D48" s="12">
        <f>VLOOKUP(A48,'Cleaned Data'!$A:$S,5,FALSE)</f>
        <v>145.72</v>
      </c>
      <c r="E48" s="12">
        <f>VLOOKUP(A48,'Cleaned Data'!$A:$S,6,FALSE)</f>
        <v>320584</v>
      </c>
    </row>
    <row r="49" spans="1:5" x14ac:dyDescent="0.25">
      <c r="A49" s="7" t="s">
        <v>89</v>
      </c>
      <c r="B49" s="12" t="str">
        <f>VLOOKUP(A49,'Cleaned Data'!A:S,2,FALSE)</f>
        <v>NAND Flash 3D 128-Layer</v>
      </c>
      <c r="C49" s="12">
        <f>VLOOKUP(B49,'Cleaned Data'!B:T,3,FALSE)</f>
        <v>4750</v>
      </c>
      <c r="D49" s="12">
        <f>VLOOKUP(A49,'Cleaned Data'!$A:$S,5,FALSE)</f>
        <v>113.1</v>
      </c>
      <c r="E49" s="12">
        <f>VLOOKUP(A49,'Cleaned Data'!$A:$S,6,FALSE)</f>
        <v>537225</v>
      </c>
    </row>
    <row r="50" spans="1:5" x14ac:dyDescent="0.25">
      <c r="A50" s="2" t="s">
        <v>14</v>
      </c>
      <c r="B50" s="12" t="str">
        <f>VLOOKUP(A50,'Cleaned Data'!A:S,2,FALSE)</f>
        <v>CMOS Image Sensor (CIS)</v>
      </c>
      <c r="C50" s="12">
        <f>VLOOKUP(B50,'Cleaned Data'!B:T,3,FALSE)</f>
        <v>2200</v>
      </c>
      <c r="D50" s="12">
        <f>VLOOKUP(A50,'Cleaned Data'!$A:$S,5,FALSE)</f>
        <v>145.72</v>
      </c>
      <c r="E50" s="12">
        <f>VLOOKUP(A50,'Cleaned Data'!$A:$S,6,FALSE)</f>
        <v>320584</v>
      </c>
    </row>
    <row r="51" spans="1:5" x14ac:dyDescent="0.25">
      <c r="A51" s="7" t="s">
        <v>89</v>
      </c>
      <c r="B51" s="12" t="str">
        <f>VLOOKUP(A51,'Cleaned Data'!A:S,2,FALSE)</f>
        <v>NAND Flash 3D 128-Layer</v>
      </c>
      <c r="C51" s="12">
        <f>VLOOKUP(B51,'Cleaned Data'!B:T,3,FALSE)</f>
        <v>4750</v>
      </c>
      <c r="D51" s="12">
        <f>VLOOKUP(A51,'Cleaned Data'!$A:$S,5,FALSE)</f>
        <v>113.1</v>
      </c>
      <c r="E51" s="12">
        <f>VLOOKUP(A51,'Cleaned Data'!$A:$S,6,FALSE)</f>
        <v>537225</v>
      </c>
    </row>
    <row r="52" spans="1:5" x14ac:dyDescent="0.25">
      <c r="A52" s="2" t="s">
        <v>53</v>
      </c>
      <c r="B52" s="12" t="str">
        <f>VLOOKUP(A52,'Cleaned Data'!A:S,2,FALSE)</f>
        <v>Silicon Wafer 300mm</v>
      </c>
      <c r="C52" s="12">
        <f>VLOOKUP(B52,'Cleaned Data'!B:T,3,FALSE)</f>
        <v>4650</v>
      </c>
      <c r="D52" s="12">
        <f>VLOOKUP(A52,'Cleaned Data'!$A:$S,5,FALSE)</f>
        <v>83.69</v>
      </c>
      <c r="E52" s="12">
        <f>VLOOKUP(A52,'Cleaned Data'!$A:$S,6,FALSE)</f>
        <v>389158.5</v>
      </c>
    </row>
    <row r="53" spans="1:5" x14ac:dyDescent="0.25">
      <c r="A53" s="7" t="s">
        <v>59</v>
      </c>
      <c r="B53" s="12" t="str">
        <f>VLOOKUP(A53,'Cleaned Data'!A:S,2,FALSE)</f>
        <v>GaN Fast Charger IC</v>
      </c>
      <c r="C53" s="12">
        <f>VLOOKUP(B53,'Cleaned Data'!B:T,3,FALSE)</f>
        <v>3850</v>
      </c>
      <c r="D53" s="12">
        <f>VLOOKUP(A53,'Cleaned Data'!$A:$S,5,FALSE)</f>
        <v>303.77999999999997</v>
      </c>
      <c r="E53" s="12">
        <f>VLOOKUP(A53,'Cleaned Data'!$A:$S,6,FALSE)</f>
        <v>1169553</v>
      </c>
    </row>
    <row r="54" spans="1:5" x14ac:dyDescent="0.25">
      <c r="A54" s="2" t="s">
        <v>67</v>
      </c>
      <c r="B54" s="12" t="str">
        <f>VLOOKUP(A54,'Cleaned Data'!A:S,2,FALSE)</f>
        <v>AI Accelerator GPU</v>
      </c>
      <c r="C54" s="12">
        <f>VLOOKUP(B54,'Cleaned Data'!B:T,3,FALSE)</f>
        <v>2100</v>
      </c>
      <c r="D54" s="12">
        <f>VLOOKUP(A54,'Cleaned Data'!$A:$S,5,FALSE)</f>
        <v>428.05</v>
      </c>
      <c r="E54" s="12">
        <f>VLOOKUP(A54,'Cleaned Data'!$A:$S,6,FALSE)</f>
        <v>898905</v>
      </c>
    </row>
    <row r="55" spans="1:5" x14ac:dyDescent="0.25">
      <c r="A55" s="7" t="s">
        <v>67</v>
      </c>
      <c r="B55" s="12" t="str">
        <f>VLOOKUP(A55,'Cleaned Data'!A:S,2,FALSE)</f>
        <v>AI Accelerator GPU</v>
      </c>
      <c r="C55" s="12">
        <f>VLOOKUP(B55,'Cleaned Data'!B:T,3,FALSE)</f>
        <v>2100</v>
      </c>
      <c r="D55" s="12">
        <f>VLOOKUP(A55,'Cleaned Data'!$A:$S,5,FALSE)</f>
        <v>428.05</v>
      </c>
      <c r="E55" s="12">
        <f>VLOOKUP(A55,'Cleaned Data'!$A:$S,6,FALSE)</f>
        <v>898905</v>
      </c>
    </row>
    <row r="56" spans="1:5" x14ac:dyDescent="0.25">
      <c r="A56" s="2" t="s">
        <v>14</v>
      </c>
      <c r="B56" s="12" t="str">
        <f>VLOOKUP(A56,'Cleaned Data'!A:S,2,FALSE)</f>
        <v>CMOS Image Sensor (CIS)</v>
      </c>
      <c r="C56" s="12">
        <f>VLOOKUP(B56,'Cleaned Data'!B:T,3,FALSE)</f>
        <v>2200</v>
      </c>
      <c r="D56" s="12">
        <f>VLOOKUP(A56,'Cleaned Data'!$A:$S,5,FALSE)</f>
        <v>145.72</v>
      </c>
      <c r="E56" s="12">
        <f>VLOOKUP(A56,'Cleaned Data'!$A:$S,6,FALSE)</f>
        <v>320584</v>
      </c>
    </row>
    <row r="57" spans="1:5" x14ac:dyDescent="0.25">
      <c r="A57" s="7" t="s">
        <v>45</v>
      </c>
      <c r="B57" s="12" t="str">
        <f>VLOOKUP(A57,'Cleaned Data'!A:S,2,FALSE)</f>
        <v>IGBT Power Module</v>
      </c>
      <c r="C57" s="12">
        <f>VLOOKUP(B57,'Cleaned Data'!B:T,3,FALSE)</f>
        <v>3300</v>
      </c>
      <c r="D57" s="12">
        <f>VLOOKUP(A57,'Cleaned Data'!$A:$S,5,FALSE)</f>
        <v>135.15</v>
      </c>
      <c r="E57" s="12">
        <f>VLOOKUP(A57,'Cleaned Data'!$A:$S,6,FALSE)</f>
        <v>445995</v>
      </c>
    </row>
    <row r="58" spans="1:5" x14ac:dyDescent="0.25">
      <c r="A58" s="2" t="s">
        <v>14</v>
      </c>
      <c r="B58" s="12" t="str">
        <f>VLOOKUP(A58,'Cleaned Data'!A:S,2,FALSE)</f>
        <v>CMOS Image Sensor (CIS)</v>
      </c>
      <c r="C58" s="12">
        <f>VLOOKUP(B58,'Cleaned Data'!B:T,3,FALSE)</f>
        <v>2200</v>
      </c>
      <c r="D58" s="12">
        <f>VLOOKUP(A58,'Cleaned Data'!$A:$S,5,FALSE)</f>
        <v>145.72</v>
      </c>
      <c r="E58" s="12">
        <f>VLOOKUP(A58,'Cleaned Data'!$A:$S,6,FALSE)</f>
        <v>320584</v>
      </c>
    </row>
    <row r="59" spans="1:5" x14ac:dyDescent="0.25">
      <c r="A59" s="7" t="s">
        <v>106</v>
      </c>
      <c r="B59" s="12" t="str">
        <f>VLOOKUP(A59,'Cleaned Data'!A:S,2,FALSE)</f>
        <v>MEMS Pressure Sensor</v>
      </c>
      <c r="C59" s="12">
        <f>VLOOKUP(B59,'Cleaned Data'!B:T,3,FALSE)</f>
        <v>4050</v>
      </c>
      <c r="D59" s="12">
        <f>VLOOKUP(A59,'Cleaned Data'!$A:$S,5,FALSE)</f>
        <v>217.44</v>
      </c>
      <c r="E59" s="12">
        <f>VLOOKUP(A59,'Cleaned Data'!$A:$S,6,FALSE)</f>
        <v>880632</v>
      </c>
    </row>
    <row r="60" spans="1:5" x14ac:dyDescent="0.25">
      <c r="A60" s="2" t="s">
        <v>59</v>
      </c>
      <c r="B60" s="12" t="str">
        <f>VLOOKUP(A60,'Cleaned Data'!A:S,2,FALSE)</f>
        <v>GaN Fast Charger IC</v>
      </c>
      <c r="C60" s="12">
        <f>VLOOKUP(B60,'Cleaned Data'!B:T,3,FALSE)</f>
        <v>3850</v>
      </c>
      <c r="D60" s="12">
        <f>VLOOKUP(A60,'Cleaned Data'!$A:$S,5,FALSE)</f>
        <v>303.77999999999997</v>
      </c>
      <c r="E60" s="12">
        <f>VLOOKUP(A60,'Cleaned Data'!$A:$S,6,FALSE)</f>
        <v>1169553</v>
      </c>
    </row>
    <row r="61" spans="1:5" x14ac:dyDescent="0.25">
      <c r="A61" s="7" t="s">
        <v>14</v>
      </c>
      <c r="B61" s="12" t="str">
        <f>VLOOKUP(A61,'Cleaned Data'!A:S,2,FALSE)</f>
        <v>CMOS Image Sensor (CIS)</v>
      </c>
      <c r="C61" s="12">
        <f>VLOOKUP(B61,'Cleaned Data'!B:T,3,FALSE)</f>
        <v>2200</v>
      </c>
      <c r="D61" s="12">
        <f>VLOOKUP(A61,'Cleaned Data'!$A:$S,5,FALSE)</f>
        <v>145.72</v>
      </c>
      <c r="E61" s="12">
        <f>VLOOKUP(A61,'Cleaned Data'!$A:$S,6,FALSE)</f>
        <v>320584</v>
      </c>
    </row>
    <row r="62" spans="1:5" x14ac:dyDescent="0.25">
      <c r="A62" s="2" t="s">
        <v>53</v>
      </c>
      <c r="B62" s="12" t="str">
        <f>VLOOKUP(A62,'Cleaned Data'!A:S,2,FALSE)</f>
        <v>Silicon Wafer 300mm</v>
      </c>
      <c r="C62" s="12">
        <f>VLOOKUP(B62,'Cleaned Data'!B:T,3,FALSE)</f>
        <v>4650</v>
      </c>
      <c r="D62" s="12">
        <f>VLOOKUP(A62,'Cleaned Data'!$A:$S,5,FALSE)</f>
        <v>83.69</v>
      </c>
      <c r="E62" s="12">
        <f>VLOOKUP(A62,'Cleaned Data'!$A:$S,6,FALSE)</f>
        <v>389158.5</v>
      </c>
    </row>
    <row r="63" spans="1:5" x14ac:dyDescent="0.25">
      <c r="A63" s="7" t="s">
        <v>23</v>
      </c>
      <c r="B63" s="12" t="str">
        <f>VLOOKUP(A63,'Cleaned Data'!A:S,2,FALSE)</f>
        <v>GaAs RF Power Amp</v>
      </c>
      <c r="C63" s="12">
        <f>VLOOKUP(B63,'Cleaned Data'!B:T,3,FALSE)</f>
        <v>2600</v>
      </c>
      <c r="D63" s="12">
        <f>VLOOKUP(A63,'Cleaned Data'!$A:$S,5,FALSE)</f>
        <v>310.19</v>
      </c>
      <c r="E63" s="12">
        <f>VLOOKUP(A63,'Cleaned Data'!$A:$S,6,FALSE)</f>
        <v>806494</v>
      </c>
    </row>
    <row r="64" spans="1:5" x14ac:dyDescent="0.25">
      <c r="A64" s="2" t="s">
        <v>37</v>
      </c>
      <c r="B64" s="12" t="str">
        <f>VLOOKUP(A64,'Cleaned Data'!A:S,2,FALSE)</f>
        <v>Automotive MCU (16-bit)</v>
      </c>
      <c r="C64" s="12">
        <f>VLOOKUP(B64,'Cleaned Data'!B:T,3,FALSE)</f>
        <v>4400</v>
      </c>
      <c r="D64" s="12">
        <f>VLOOKUP(A64,'Cleaned Data'!$A:$S,5,FALSE)</f>
        <v>91.15</v>
      </c>
      <c r="E64" s="12">
        <f>VLOOKUP(A64,'Cleaned Data'!$A:$S,6,FALSE)</f>
        <v>401060</v>
      </c>
    </row>
    <row r="65" spans="1:5" x14ac:dyDescent="0.25">
      <c r="A65" s="7" t="s">
        <v>67</v>
      </c>
      <c r="B65" s="12" t="str">
        <f>VLOOKUP(A65,'Cleaned Data'!A:S,2,FALSE)</f>
        <v>AI Accelerator GPU</v>
      </c>
      <c r="C65" s="12">
        <f>VLOOKUP(B65,'Cleaned Data'!B:T,3,FALSE)</f>
        <v>2100</v>
      </c>
      <c r="D65" s="12">
        <f>VLOOKUP(A65,'Cleaned Data'!$A:$S,5,FALSE)</f>
        <v>428.05</v>
      </c>
      <c r="E65" s="12">
        <f>VLOOKUP(A65,'Cleaned Data'!$A:$S,6,FALSE)</f>
        <v>898905</v>
      </c>
    </row>
    <row r="66" spans="1:5" x14ac:dyDescent="0.25">
      <c r="A66" s="2" t="s">
        <v>30</v>
      </c>
      <c r="B66" s="12" t="str">
        <f>VLOOKUP(A66,'Cleaned Data'!A:S,2,FALSE)</f>
        <v>OLED Display Driver IC</v>
      </c>
      <c r="C66" s="12">
        <f>VLOOKUP(B66,'Cleaned Data'!B:T,3,FALSE)</f>
        <v>2900</v>
      </c>
      <c r="D66" s="12">
        <f>VLOOKUP(A66,'Cleaned Data'!$A:$S,5,FALSE)</f>
        <v>101.97</v>
      </c>
      <c r="E66" s="12">
        <f>VLOOKUP(A66,'Cleaned Data'!$A:$S,6,FALSE)</f>
        <v>295713</v>
      </c>
    </row>
    <row r="67" spans="1:5" x14ac:dyDescent="0.25">
      <c r="A67" s="7" t="s">
        <v>37</v>
      </c>
      <c r="B67" s="12" t="str">
        <f>VLOOKUP(A67,'Cleaned Data'!A:S,2,FALSE)</f>
        <v>Automotive MCU (16-bit)</v>
      </c>
      <c r="C67" s="12">
        <f>VLOOKUP(B67,'Cleaned Data'!B:T,3,FALSE)</f>
        <v>4400</v>
      </c>
      <c r="D67" s="12">
        <f>VLOOKUP(A67,'Cleaned Data'!$A:$S,5,FALSE)</f>
        <v>91.15</v>
      </c>
      <c r="E67" s="12">
        <f>VLOOKUP(A67,'Cleaned Data'!$A:$S,6,FALSE)</f>
        <v>401060</v>
      </c>
    </row>
    <row r="68" spans="1:5" x14ac:dyDescent="0.25">
      <c r="A68" s="2" t="s">
        <v>89</v>
      </c>
      <c r="B68" s="12" t="str">
        <f>VLOOKUP(A68,'Cleaned Data'!A:S,2,FALSE)</f>
        <v>NAND Flash 3D 128-Layer</v>
      </c>
      <c r="C68" s="12">
        <f>VLOOKUP(B68,'Cleaned Data'!B:T,3,FALSE)</f>
        <v>4750</v>
      </c>
      <c r="D68" s="12">
        <f>VLOOKUP(A68,'Cleaned Data'!$A:$S,5,FALSE)</f>
        <v>113.1</v>
      </c>
      <c r="E68" s="12">
        <f>VLOOKUP(A68,'Cleaned Data'!$A:$S,6,FALSE)</f>
        <v>537225</v>
      </c>
    </row>
    <row r="69" spans="1:5" x14ac:dyDescent="0.25">
      <c r="A69" s="7" t="s">
        <v>89</v>
      </c>
      <c r="B69" s="12" t="str">
        <f>VLOOKUP(A69,'Cleaned Data'!A:S,2,FALSE)</f>
        <v>NAND Flash 3D 128-Layer</v>
      </c>
      <c r="C69" s="12">
        <f>VLOOKUP(B69,'Cleaned Data'!B:T,3,FALSE)</f>
        <v>4750</v>
      </c>
      <c r="D69" s="12">
        <f>VLOOKUP(A69,'Cleaned Data'!$A:$S,5,FALSE)</f>
        <v>113.1</v>
      </c>
      <c r="E69" s="12">
        <f>VLOOKUP(A69,'Cleaned Data'!$A:$S,6,FALSE)</f>
        <v>537225</v>
      </c>
    </row>
    <row r="70" spans="1:5" x14ac:dyDescent="0.25">
      <c r="A70" s="2" t="s">
        <v>37</v>
      </c>
      <c r="B70" s="12" t="str">
        <f>VLOOKUP(A70,'Cleaned Data'!A:S,2,FALSE)</f>
        <v>Automotive MCU (16-bit)</v>
      </c>
      <c r="C70" s="12">
        <f>VLOOKUP(B70,'Cleaned Data'!B:T,3,FALSE)</f>
        <v>4400</v>
      </c>
      <c r="D70" s="12">
        <f>VLOOKUP(A70,'Cleaned Data'!$A:$S,5,FALSE)</f>
        <v>91.15</v>
      </c>
      <c r="E70" s="12">
        <f>VLOOKUP(A70,'Cleaned Data'!$A:$S,6,FALSE)</f>
        <v>401060</v>
      </c>
    </row>
    <row r="71" spans="1:5" x14ac:dyDescent="0.25">
      <c r="A71" s="7" t="s">
        <v>45</v>
      </c>
      <c r="B71" s="12" t="str">
        <f>VLOOKUP(A71,'Cleaned Data'!A:S,2,FALSE)</f>
        <v>IGBT Power Module</v>
      </c>
      <c r="C71" s="12">
        <f>VLOOKUP(B71,'Cleaned Data'!B:T,3,FALSE)</f>
        <v>3300</v>
      </c>
      <c r="D71" s="12">
        <f>VLOOKUP(A71,'Cleaned Data'!$A:$S,5,FALSE)</f>
        <v>135.15</v>
      </c>
      <c r="E71" s="12">
        <f>VLOOKUP(A71,'Cleaned Data'!$A:$S,6,FALSE)</f>
        <v>445995</v>
      </c>
    </row>
    <row r="72" spans="1:5" x14ac:dyDescent="0.25">
      <c r="A72" s="2" t="s">
        <v>37</v>
      </c>
      <c r="B72" s="12" t="str">
        <f>VLOOKUP(A72,'Cleaned Data'!A:S,2,FALSE)</f>
        <v>Automotive MCU (16-bit)</v>
      </c>
      <c r="C72" s="12">
        <f>VLOOKUP(B72,'Cleaned Data'!B:T,3,FALSE)</f>
        <v>4400</v>
      </c>
      <c r="D72" s="12">
        <f>VLOOKUP(A72,'Cleaned Data'!$A:$S,5,FALSE)</f>
        <v>91.15</v>
      </c>
      <c r="E72" s="12">
        <f>VLOOKUP(A72,'Cleaned Data'!$A:$S,6,FALSE)</f>
        <v>401060</v>
      </c>
    </row>
    <row r="73" spans="1:5" x14ac:dyDescent="0.25">
      <c r="A73" s="7" t="s">
        <v>37</v>
      </c>
      <c r="B73" s="12" t="str">
        <f>VLOOKUP(A73,'Cleaned Data'!A:S,2,FALSE)</f>
        <v>Automotive MCU (16-bit)</v>
      </c>
      <c r="C73" s="12">
        <f>VLOOKUP(B73,'Cleaned Data'!B:T,3,FALSE)</f>
        <v>4400</v>
      </c>
      <c r="D73" s="12">
        <f>VLOOKUP(A73,'Cleaned Data'!$A:$S,5,FALSE)</f>
        <v>91.15</v>
      </c>
      <c r="E73" s="12">
        <f>VLOOKUP(A73,'Cleaned Data'!$A:$S,6,FALSE)</f>
        <v>401060</v>
      </c>
    </row>
    <row r="74" spans="1:5" x14ac:dyDescent="0.25">
      <c r="A74" s="2" t="s">
        <v>14</v>
      </c>
      <c r="B74" s="12" t="str">
        <f>VLOOKUP(A74,'Cleaned Data'!A:S,2,FALSE)</f>
        <v>CMOS Image Sensor (CIS)</v>
      </c>
      <c r="C74" s="12">
        <f>VLOOKUP(B74,'Cleaned Data'!B:T,3,FALSE)</f>
        <v>2200</v>
      </c>
      <c r="D74" s="12">
        <f>VLOOKUP(A74,'Cleaned Data'!$A:$S,5,FALSE)</f>
        <v>145.72</v>
      </c>
      <c r="E74" s="12">
        <f>VLOOKUP(A74,'Cleaned Data'!$A:$S,6,FALSE)</f>
        <v>320584</v>
      </c>
    </row>
    <row r="75" spans="1:5" x14ac:dyDescent="0.25">
      <c r="A75" s="7" t="s">
        <v>45</v>
      </c>
      <c r="B75" s="12" t="str">
        <f>VLOOKUP(A75,'Cleaned Data'!A:S,2,FALSE)</f>
        <v>IGBT Power Module</v>
      </c>
      <c r="C75" s="12">
        <f>VLOOKUP(B75,'Cleaned Data'!B:T,3,FALSE)</f>
        <v>3300</v>
      </c>
      <c r="D75" s="12">
        <f>VLOOKUP(A75,'Cleaned Data'!$A:$S,5,FALSE)</f>
        <v>135.15</v>
      </c>
      <c r="E75" s="12">
        <f>VLOOKUP(A75,'Cleaned Data'!$A:$S,6,FALSE)</f>
        <v>445995</v>
      </c>
    </row>
    <row r="76" spans="1:5" x14ac:dyDescent="0.25">
      <c r="A76" s="2" t="s">
        <v>45</v>
      </c>
      <c r="B76" s="12" t="str">
        <f>VLOOKUP(A76,'Cleaned Data'!A:S,2,FALSE)</f>
        <v>IGBT Power Module</v>
      </c>
      <c r="C76" s="12">
        <f>VLOOKUP(B76,'Cleaned Data'!B:T,3,FALSE)</f>
        <v>3300</v>
      </c>
      <c r="D76" s="12">
        <f>VLOOKUP(A76,'Cleaned Data'!$A:$S,5,FALSE)</f>
        <v>135.15</v>
      </c>
      <c r="E76" s="12">
        <f>VLOOKUP(A76,'Cleaned Data'!$A:$S,6,FALSE)</f>
        <v>445995</v>
      </c>
    </row>
    <row r="77" spans="1:5" x14ac:dyDescent="0.25">
      <c r="A77" s="7" t="s">
        <v>14</v>
      </c>
      <c r="B77" s="12" t="str">
        <f>VLOOKUP(A77,'Cleaned Data'!A:S,2,FALSE)</f>
        <v>CMOS Image Sensor (CIS)</v>
      </c>
      <c r="C77" s="12">
        <f>VLOOKUP(B77,'Cleaned Data'!B:T,3,FALSE)</f>
        <v>2200</v>
      </c>
      <c r="D77" s="12">
        <f>VLOOKUP(A77,'Cleaned Data'!$A:$S,5,FALSE)</f>
        <v>145.72</v>
      </c>
      <c r="E77" s="12">
        <f>VLOOKUP(A77,'Cleaned Data'!$A:$S,6,FALSE)</f>
        <v>320584</v>
      </c>
    </row>
    <row r="78" spans="1:5" x14ac:dyDescent="0.25">
      <c r="A78" s="2" t="s">
        <v>106</v>
      </c>
      <c r="B78" s="12" t="str">
        <f>VLOOKUP(A78,'Cleaned Data'!A:S,2,FALSE)</f>
        <v>MEMS Pressure Sensor</v>
      </c>
      <c r="C78" s="12">
        <f>VLOOKUP(B78,'Cleaned Data'!B:T,3,FALSE)</f>
        <v>4050</v>
      </c>
      <c r="D78" s="12">
        <f>VLOOKUP(A78,'Cleaned Data'!$A:$S,5,FALSE)</f>
        <v>217.44</v>
      </c>
      <c r="E78" s="12">
        <f>VLOOKUP(A78,'Cleaned Data'!$A:$S,6,FALSE)</f>
        <v>880632</v>
      </c>
    </row>
    <row r="79" spans="1:5" x14ac:dyDescent="0.25">
      <c r="A79" s="7" t="s">
        <v>14</v>
      </c>
      <c r="B79" s="12" t="str">
        <f>VLOOKUP(A79,'Cleaned Data'!A:S,2,FALSE)</f>
        <v>CMOS Image Sensor (CIS)</v>
      </c>
      <c r="C79" s="12">
        <f>VLOOKUP(B79,'Cleaned Data'!B:T,3,FALSE)</f>
        <v>2200</v>
      </c>
      <c r="D79" s="12">
        <f>VLOOKUP(A79,'Cleaned Data'!$A:$S,5,FALSE)</f>
        <v>145.72</v>
      </c>
      <c r="E79" s="12">
        <f>VLOOKUP(A79,'Cleaned Data'!$A:$S,6,FALSE)</f>
        <v>320584</v>
      </c>
    </row>
    <row r="80" spans="1:5" x14ac:dyDescent="0.25">
      <c r="A80" s="2" t="s">
        <v>89</v>
      </c>
      <c r="B80" s="12" t="str">
        <f>VLOOKUP(A80,'Cleaned Data'!A:S,2,FALSE)</f>
        <v>NAND Flash 3D 128-Layer</v>
      </c>
      <c r="C80" s="12">
        <f>VLOOKUP(B80,'Cleaned Data'!B:T,3,FALSE)</f>
        <v>4750</v>
      </c>
      <c r="D80" s="12">
        <f>VLOOKUP(A80,'Cleaned Data'!$A:$S,5,FALSE)</f>
        <v>113.1</v>
      </c>
      <c r="E80" s="12">
        <f>VLOOKUP(A80,'Cleaned Data'!$A:$S,6,FALSE)</f>
        <v>537225</v>
      </c>
    </row>
    <row r="81" spans="1:5" x14ac:dyDescent="0.25">
      <c r="A81" s="7" t="s">
        <v>37</v>
      </c>
      <c r="B81" s="12" t="str">
        <f>VLOOKUP(A81,'Cleaned Data'!A:S,2,FALSE)</f>
        <v>Automotive MCU (16-bit)</v>
      </c>
      <c r="C81" s="12">
        <f>VLOOKUP(B81,'Cleaned Data'!B:T,3,FALSE)</f>
        <v>4400</v>
      </c>
      <c r="D81" s="12">
        <f>VLOOKUP(A81,'Cleaned Data'!$A:$S,5,FALSE)</f>
        <v>91.15</v>
      </c>
      <c r="E81" s="12">
        <f>VLOOKUP(A81,'Cleaned Data'!$A:$S,6,FALSE)</f>
        <v>401060</v>
      </c>
    </row>
    <row r="82" spans="1:5" x14ac:dyDescent="0.25">
      <c r="A82" s="2" t="s">
        <v>53</v>
      </c>
      <c r="B82" s="12" t="str">
        <f>VLOOKUP(A82,'Cleaned Data'!A:S,2,FALSE)</f>
        <v>Silicon Wafer 300mm</v>
      </c>
      <c r="C82" s="12">
        <f>VLOOKUP(B82,'Cleaned Data'!B:T,3,FALSE)</f>
        <v>4650</v>
      </c>
      <c r="D82" s="12">
        <f>VLOOKUP(A82,'Cleaned Data'!$A:$S,5,FALSE)</f>
        <v>83.69</v>
      </c>
      <c r="E82" s="12">
        <f>VLOOKUP(A82,'Cleaned Data'!$A:$S,6,FALSE)</f>
        <v>389158.5</v>
      </c>
    </row>
    <row r="83" spans="1:5" x14ac:dyDescent="0.25">
      <c r="A83" s="7" t="s">
        <v>89</v>
      </c>
      <c r="B83" s="12" t="str">
        <f>VLOOKUP(A83,'Cleaned Data'!A:S,2,FALSE)</f>
        <v>NAND Flash 3D 128-Layer</v>
      </c>
      <c r="C83" s="12">
        <f>VLOOKUP(B83,'Cleaned Data'!B:T,3,FALSE)</f>
        <v>4750</v>
      </c>
      <c r="D83" s="12">
        <f>VLOOKUP(A83,'Cleaned Data'!$A:$S,5,FALSE)</f>
        <v>113.1</v>
      </c>
      <c r="E83" s="12">
        <f>VLOOKUP(A83,'Cleaned Data'!$A:$S,6,FALSE)</f>
        <v>537225</v>
      </c>
    </row>
    <row r="84" spans="1:5" x14ac:dyDescent="0.25">
      <c r="A84" s="2" t="s">
        <v>67</v>
      </c>
      <c r="B84" s="12" t="str">
        <f>VLOOKUP(A84,'Cleaned Data'!A:S,2,FALSE)</f>
        <v>AI Accelerator GPU</v>
      </c>
      <c r="C84" s="12">
        <f>VLOOKUP(B84,'Cleaned Data'!B:T,3,FALSE)</f>
        <v>2100</v>
      </c>
      <c r="D84" s="12">
        <f>VLOOKUP(A84,'Cleaned Data'!$A:$S,5,FALSE)</f>
        <v>428.05</v>
      </c>
      <c r="E84" s="12">
        <f>VLOOKUP(A84,'Cleaned Data'!$A:$S,6,FALSE)</f>
        <v>898905</v>
      </c>
    </row>
    <row r="85" spans="1:5" x14ac:dyDescent="0.25">
      <c r="A85" s="7" t="s">
        <v>106</v>
      </c>
      <c r="B85" s="12" t="str">
        <f>VLOOKUP(A85,'Cleaned Data'!A:S,2,FALSE)</f>
        <v>MEMS Pressure Sensor</v>
      </c>
      <c r="C85" s="12">
        <f>VLOOKUP(B85,'Cleaned Data'!B:T,3,FALSE)</f>
        <v>4050</v>
      </c>
      <c r="D85" s="12">
        <f>VLOOKUP(A85,'Cleaned Data'!$A:$S,5,FALSE)</f>
        <v>217.44</v>
      </c>
      <c r="E85" s="12">
        <f>VLOOKUP(A85,'Cleaned Data'!$A:$S,6,FALSE)</f>
        <v>880632</v>
      </c>
    </row>
    <row r="86" spans="1:5" x14ac:dyDescent="0.25">
      <c r="A86" s="2" t="s">
        <v>23</v>
      </c>
      <c r="B86" s="12" t="str">
        <f>VLOOKUP(A86,'Cleaned Data'!A:S,2,FALSE)</f>
        <v>GaAs RF Power Amp</v>
      </c>
      <c r="C86" s="12">
        <f>VLOOKUP(B86,'Cleaned Data'!B:T,3,FALSE)</f>
        <v>2600</v>
      </c>
      <c r="D86" s="12">
        <f>VLOOKUP(A86,'Cleaned Data'!$A:$S,5,FALSE)</f>
        <v>310.19</v>
      </c>
      <c r="E86" s="12">
        <f>VLOOKUP(A86,'Cleaned Data'!$A:$S,6,FALSE)</f>
        <v>806494</v>
      </c>
    </row>
    <row r="87" spans="1:5" x14ac:dyDescent="0.25">
      <c r="A87" s="7" t="s">
        <v>30</v>
      </c>
      <c r="B87" s="12" t="str">
        <f>VLOOKUP(A87,'Cleaned Data'!A:S,2,FALSE)</f>
        <v>OLED Display Driver IC</v>
      </c>
      <c r="C87" s="12">
        <f>VLOOKUP(B87,'Cleaned Data'!B:T,3,FALSE)</f>
        <v>2900</v>
      </c>
      <c r="D87" s="12">
        <f>VLOOKUP(A87,'Cleaned Data'!$A:$S,5,FALSE)</f>
        <v>101.97</v>
      </c>
      <c r="E87" s="12">
        <f>VLOOKUP(A87,'Cleaned Data'!$A:$S,6,FALSE)</f>
        <v>295713</v>
      </c>
    </row>
    <row r="88" spans="1:5" x14ac:dyDescent="0.25">
      <c r="A88" s="2" t="s">
        <v>53</v>
      </c>
      <c r="B88" s="12" t="str">
        <f>VLOOKUP(A88,'Cleaned Data'!A:S,2,FALSE)</f>
        <v>Silicon Wafer 300mm</v>
      </c>
      <c r="C88" s="12">
        <f>VLOOKUP(B88,'Cleaned Data'!B:T,3,FALSE)</f>
        <v>4650</v>
      </c>
      <c r="D88" s="12">
        <f>VLOOKUP(A88,'Cleaned Data'!$A:$S,5,FALSE)</f>
        <v>83.69</v>
      </c>
      <c r="E88" s="12">
        <f>VLOOKUP(A88,'Cleaned Data'!$A:$S,6,FALSE)</f>
        <v>389158.5</v>
      </c>
    </row>
    <row r="89" spans="1:5" x14ac:dyDescent="0.25">
      <c r="A89" s="7" t="s">
        <v>30</v>
      </c>
      <c r="B89" s="12" t="str">
        <f>VLOOKUP(A89,'Cleaned Data'!A:S,2,FALSE)</f>
        <v>OLED Display Driver IC</v>
      </c>
      <c r="C89" s="12">
        <f>VLOOKUP(B89,'Cleaned Data'!B:T,3,FALSE)</f>
        <v>2900</v>
      </c>
      <c r="D89" s="12">
        <f>VLOOKUP(A89,'Cleaned Data'!$A:$S,5,FALSE)</f>
        <v>101.97</v>
      </c>
      <c r="E89" s="12">
        <f>VLOOKUP(A89,'Cleaned Data'!$A:$S,6,FALSE)</f>
        <v>295713</v>
      </c>
    </row>
    <row r="90" spans="1:5" x14ac:dyDescent="0.25">
      <c r="A90" s="2" t="s">
        <v>67</v>
      </c>
      <c r="B90" s="12" t="str">
        <f>VLOOKUP(A90,'Cleaned Data'!A:S,2,FALSE)</f>
        <v>AI Accelerator GPU</v>
      </c>
      <c r="C90" s="12">
        <f>VLOOKUP(B90,'Cleaned Data'!B:T,3,FALSE)</f>
        <v>2100</v>
      </c>
      <c r="D90" s="12">
        <f>VLOOKUP(A90,'Cleaned Data'!$A:$S,5,FALSE)</f>
        <v>428.05</v>
      </c>
      <c r="E90" s="12">
        <f>VLOOKUP(A90,'Cleaned Data'!$A:$S,6,FALSE)</f>
        <v>898905</v>
      </c>
    </row>
    <row r="91" spans="1:5" x14ac:dyDescent="0.25">
      <c r="A91" s="7" t="s">
        <v>89</v>
      </c>
      <c r="B91" s="12" t="str">
        <f>VLOOKUP(A91,'Cleaned Data'!A:S,2,FALSE)</f>
        <v>NAND Flash 3D 128-Layer</v>
      </c>
      <c r="C91" s="12">
        <f>VLOOKUP(B91,'Cleaned Data'!B:T,3,FALSE)</f>
        <v>4750</v>
      </c>
      <c r="D91" s="12">
        <f>VLOOKUP(A91,'Cleaned Data'!$A:$S,5,FALSE)</f>
        <v>113.1</v>
      </c>
      <c r="E91" s="12">
        <f>VLOOKUP(A91,'Cleaned Data'!$A:$S,6,FALSE)</f>
        <v>537225</v>
      </c>
    </row>
    <row r="92" spans="1:5" x14ac:dyDescent="0.25">
      <c r="A92" s="2" t="s">
        <v>45</v>
      </c>
      <c r="B92" s="12" t="str">
        <f>VLOOKUP(A92,'Cleaned Data'!A:S,2,FALSE)</f>
        <v>IGBT Power Module</v>
      </c>
      <c r="C92" s="12">
        <f>VLOOKUP(B92,'Cleaned Data'!B:T,3,FALSE)</f>
        <v>3300</v>
      </c>
      <c r="D92" s="12">
        <f>VLOOKUP(A92,'Cleaned Data'!$A:$S,5,FALSE)</f>
        <v>135.15</v>
      </c>
      <c r="E92" s="12">
        <f>VLOOKUP(A92,'Cleaned Data'!$A:$S,6,FALSE)</f>
        <v>445995</v>
      </c>
    </row>
    <row r="93" spans="1:5" x14ac:dyDescent="0.25">
      <c r="A93" s="7" t="s">
        <v>67</v>
      </c>
      <c r="B93" s="12" t="str">
        <f>VLOOKUP(A93,'Cleaned Data'!A:S,2,FALSE)</f>
        <v>AI Accelerator GPU</v>
      </c>
      <c r="C93" s="12">
        <f>VLOOKUP(B93,'Cleaned Data'!B:T,3,FALSE)</f>
        <v>2100</v>
      </c>
      <c r="D93" s="12">
        <f>VLOOKUP(A93,'Cleaned Data'!$A:$S,5,FALSE)</f>
        <v>428.05</v>
      </c>
      <c r="E93" s="12">
        <f>VLOOKUP(A93,'Cleaned Data'!$A:$S,6,FALSE)</f>
        <v>898905</v>
      </c>
    </row>
    <row r="94" spans="1:5" x14ac:dyDescent="0.25">
      <c r="A94" s="2" t="s">
        <v>59</v>
      </c>
      <c r="B94" s="12" t="str">
        <f>VLOOKUP(A94,'Cleaned Data'!A:S,2,FALSE)</f>
        <v>GaN Fast Charger IC</v>
      </c>
      <c r="C94" s="12">
        <f>VLOOKUP(B94,'Cleaned Data'!B:T,3,FALSE)</f>
        <v>3850</v>
      </c>
      <c r="D94" s="12">
        <f>VLOOKUP(A94,'Cleaned Data'!$A:$S,5,FALSE)</f>
        <v>303.77999999999997</v>
      </c>
      <c r="E94" s="12">
        <f>VLOOKUP(A94,'Cleaned Data'!$A:$S,6,FALSE)</f>
        <v>1169553</v>
      </c>
    </row>
    <row r="95" spans="1:5" x14ac:dyDescent="0.25">
      <c r="A95" s="7" t="s">
        <v>53</v>
      </c>
      <c r="B95" s="12" t="str">
        <f>VLOOKUP(A95,'Cleaned Data'!A:S,2,FALSE)</f>
        <v>Silicon Wafer 300mm</v>
      </c>
      <c r="C95" s="12">
        <f>VLOOKUP(B95,'Cleaned Data'!B:T,3,FALSE)</f>
        <v>4650</v>
      </c>
      <c r="D95" s="12">
        <f>VLOOKUP(A95,'Cleaned Data'!$A:$S,5,FALSE)</f>
        <v>83.69</v>
      </c>
      <c r="E95" s="12">
        <f>VLOOKUP(A95,'Cleaned Data'!$A:$S,6,FALSE)</f>
        <v>389158.5</v>
      </c>
    </row>
    <row r="96" spans="1:5" x14ac:dyDescent="0.25">
      <c r="A96" s="2" t="s">
        <v>37</v>
      </c>
      <c r="B96" s="12" t="str">
        <f>VLOOKUP(A96,'Cleaned Data'!A:S,2,FALSE)</f>
        <v>Automotive MCU (16-bit)</v>
      </c>
      <c r="C96" s="12">
        <f>VLOOKUP(B96,'Cleaned Data'!B:T,3,FALSE)</f>
        <v>4400</v>
      </c>
      <c r="D96" s="12">
        <f>VLOOKUP(A96,'Cleaned Data'!$A:$S,5,FALSE)</f>
        <v>91.15</v>
      </c>
      <c r="E96" s="12">
        <f>VLOOKUP(A96,'Cleaned Data'!$A:$S,6,FALSE)</f>
        <v>401060</v>
      </c>
    </row>
    <row r="97" spans="1:5" x14ac:dyDescent="0.25">
      <c r="A97" s="7" t="s">
        <v>23</v>
      </c>
      <c r="B97" s="12" t="str">
        <f>VLOOKUP(A97,'Cleaned Data'!A:S,2,FALSE)</f>
        <v>GaAs RF Power Amp</v>
      </c>
      <c r="C97" s="12">
        <f>VLOOKUP(B97,'Cleaned Data'!B:T,3,FALSE)</f>
        <v>2600</v>
      </c>
      <c r="D97" s="12">
        <f>VLOOKUP(A97,'Cleaned Data'!$A:$S,5,FALSE)</f>
        <v>310.19</v>
      </c>
      <c r="E97" s="12">
        <f>VLOOKUP(A97,'Cleaned Data'!$A:$S,6,FALSE)</f>
        <v>806494</v>
      </c>
    </row>
    <row r="98" spans="1:5" x14ac:dyDescent="0.25">
      <c r="A98" s="2" t="s">
        <v>45</v>
      </c>
      <c r="B98" s="12" t="str">
        <f>VLOOKUP(A98,'Cleaned Data'!A:S,2,FALSE)</f>
        <v>IGBT Power Module</v>
      </c>
      <c r="C98" s="12">
        <f>VLOOKUP(B98,'Cleaned Data'!B:T,3,FALSE)</f>
        <v>3300</v>
      </c>
      <c r="D98" s="12">
        <f>VLOOKUP(A98,'Cleaned Data'!$A:$S,5,FALSE)</f>
        <v>135.15</v>
      </c>
      <c r="E98" s="12">
        <f>VLOOKUP(A98,'Cleaned Data'!$A:$S,6,FALSE)</f>
        <v>445995</v>
      </c>
    </row>
    <row r="99" spans="1:5" x14ac:dyDescent="0.25">
      <c r="A99" s="7" t="s">
        <v>37</v>
      </c>
      <c r="B99" s="12" t="str">
        <f>VLOOKUP(A99,'Cleaned Data'!A:S,2,FALSE)</f>
        <v>Automotive MCU (16-bit)</v>
      </c>
      <c r="C99" s="12">
        <f>VLOOKUP(B99,'Cleaned Data'!B:T,3,FALSE)</f>
        <v>4400</v>
      </c>
      <c r="D99" s="12">
        <f>VLOOKUP(A99,'Cleaned Data'!$A:$S,5,FALSE)</f>
        <v>91.15</v>
      </c>
      <c r="E99" s="12">
        <f>VLOOKUP(A99,'Cleaned Data'!$A:$S,6,FALSE)</f>
        <v>401060</v>
      </c>
    </row>
    <row r="100" spans="1:5" x14ac:dyDescent="0.25">
      <c r="A100" s="2" t="s">
        <v>53</v>
      </c>
      <c r="B100" s="12" t="str">
        <f>VLOOKUP(A100,'Cleaned Data'!A:S,2,FALSE)</f>
        <v>Silicon Wafer 300mm</v>
      </c>
      <c r="C100" s="12">
        <f>VLOOKUP(B100,'Cleaned Data'!B:T,3,FALSE)</f>
        <v>4650</v>
      </c>
      <c r="D100" s="12">
        <f>VLOOKUP(A100,'Cleaned Data'!$A:$S,5,FALSE)</f>
        <v>83.69</v>
      </c>
      <c r="E100" s="12">
        <f>VLOOKUP(A100,'Cleaned Data'!$A:$S,6,FALSE)</f>
        <v>389158.5</v>
      </c>
    </row>
    <row r="101" spans="1:5" x14ac:dyDescent="0.25">
      <c r="A101" s="7" t="s">
        <v>37</v>
      </c>
      <c r="B101" s="12" t="str">
        <f>VLOOKUP(A101,'Cleaned Data'!A:S,2,FALSE)</f>
        <v>Automotive MCU (16-bit)</v>
      </c>
      <c r="C101" s="12">
        <f>VLOOKUP(B101,'Cleaned Data'!B:T,3,FALSE)</f>
        <v>4400</v>
      </c>
      <c r="D101" s="12">
        <f>VLOOKUP(A101,'Cleaned Data'!$A:$S,5,FALSE)</f>
        <v>91.15</v>
      </c>
      <c r="E101" s="12">
        <f>VLOOKUP(A101,'Cleaned Data'!$A:$S,6,FALSE)</f>
        <v>401060</v>
      </c>
    </row>
    <row r="102" spans="1:5" x14ac:dyDescent="0.25">
      <c r="A102" s="2" t="s">
        <v>30</v>
      </c>
      <c r="B102" s="12" t="str">
        <f>VLOOKUP(A102,'Cleaned Data'!A:S,2,FALSE)</f>
        <v>OLED Display Driver IC</v>
      </c>
      <c r="C102" s="12">
        <f>VLOOKUP(B102,'Cleaned Data'!B:T,3,FALSE)</f>
        <v>2900</v>
      </c>
      <c r="D102" s="12">
        <f>VLOOKUP(A102,'Cleaned Data'!$A:$S,5,FALSE)</f>
        <v>101.97</v>
      </c>
      <c r="E102" s="12">
        <f>VLOOKUP(A102,'Cleaned Data'!$A:$S,6,FALSE)</f>
        <v>295713</v>
      </c>
    </row>
    <row r="103" spans="1:5" x14ac:dyDescent="0.25">
      <c r="A103" s="7" t="s">
        <v>45</v>
      </c>
      <c r="B103" s="12" t="str">
        <f>VLOOKUP(A103,'Cleaned Data'!A:S,2,FALSE)</f>
        <v>IGBT Power Module</v>
      </c>
      <c r="C103" s="12">
        <f>VLOOKUP(B103,'Cleaned Data'!B:T,3,FALSE)</f>
        <v>3300</v>
      </c>
      <c r="D103" s="12">
        <f>VLOOKUP(A103,'Cleaned Data'!$A:$S,5,FALSE)</f>
        <v>135.15</v>
      </c>
      <c r="E103" s="12">
        <f>VLOOKUP(A103,'Cleaned Data'!$A:$S,6,FALSE)</f>
        <v>445995</v>
      </c>
    </row>
    <row r="104" spans="1:5" x14ac:dyDescent="0.25">
      <c r="A104" s="2" t="s">
        <v>53</v>
      </c>
      <c r="B104" s="12" t="str">
        <f>VLOOKUP(A104,'Cleaned Data'!A:S,2,FALSE)</f>
        <v>Silicon Wafer 300mm</v>
      </c>
      <c r="C104" s="12">
        <f>VLOOKUP(B104,'Cleaned Data'!B:T,3,FALSE)</f>
        <v>4650</v>
      </c>
      <c r="D104" s="12">
        <f>VLOOKUP(A104,'Cleaned Data'!$A:$S,5,FALSE)</f>
        <v>83.69</v>
      </c>
      <c r="E104" s="12">
        <f>VLOOKUP(A104,'Cleaned Data'!$A:$S,6,FALSE)</f>
        <v>389158.5</v>
      </c>
    </row>
    <row r="105" spans="1:5" x14ac:dyDescent="0.25">
      <c r="A105" s="7" t="s">
        <v>37</v>
      </c>
      <c r="B105" s="12" t="str">
        <f>VLOOKUP(A105,'Cleaned Data'!A:S,2,FALSE)</f>
        <v>Automotive MCU (16-bit)</v>
      </c>
      <c r="C105" s="12">
        <f>VLOOKUP(B105,'Cleaned Data'!B:T,3,FALSE)</f>
        <v>4400</v>
      </c>
      <c r="D105" s="12">
        <f>VLOOKUP(A105,'Cleaned Data'!$A:$S,5,FALSE)</f>
        <v>91.15</v>
      </c>
      <c r="E105" s="12">
        <f>VLOOKUP(A105,'Cleaned Data'!$A:$S,6,FALSE)</f>
        <v>401060</v>
      </c>
    </row>
    <row r="106" spans="1:5" x14ac:dyDescent="0.25">
      <c r="A106" s="2" t="s">
        <v>53</v>
      </c>
      <c r="B106" s="12" t="str">
        <f>VLOOKUP(A106,'Cleaned Data'!A:S,2,FALSE)</f>
        <v>Silicon Wafer 300mm</v>
      </c>
      <c r="C106" s="12">
        <f>VLOOKUP(B106,'Cleaned Data'!B:T,3,FALSE)</f>
        <v>4650</v>
      </c>
      <c r="D106" s="12">
        <f>VLOOKUP(A106,'Cleaned Data'!$A:$S,5,FALSE)</f>
        <v>83.69</v>
      </c>
      <c r="E106" s="12">
        <f>VLOOKUP(A106,'Cleaned Data'!$A:$S,6,FALSE)</f>
        <v>389158.5</v>
      </c>
    </row>
    <row r="107" spans="1:5" x14ac:dyDescent="0.25">
      <c r="A107" s="7" t="s">
        <v>45</v>
      </c>
      <c r="B107" s="12" t="str">
        <f>VLOOKUP(A107,'Cleaned Data'!A:S,2,FALSE)</f>
        <v>IGBT Power Module</v>
      </c>
      <c r="C107" s="12">
        <f>VLOOKUP(B107,'Cleaned Data'!B:T,3,FALSE)</f>
        <v>3300</v>
      </c>
      <c r="D107" s="12">
        <f>VLOOKUP(A107,'Cleaned Data'!$A:$S,5,FALSE)</f>
        <v>135.15</v>
      </c>
      <c r="E107" s="12">
        <f>VLOOKUP(A107,'Cleaned Data'!$A:$S,6,FALSE)</f>
        <v>445995</v>
      </c>
    </row>
    <row r="108" spans="1:5" x14ac:dyDescent="0.25">
      <c r="A108" s="2" t="s">
        <v>67</v>
      </c>
      <c r="B108" s="12" t="str">
        <f>VLOOKUP(A108,'Cleaned Data'!A:S,2,FALSE)</f>
        <v>AI Accelerator GPU</v>
      </c>
      <c r="C108" s="12">
        <f>VLOOKUP(B108,'Cleaned Data'!B:T,3,FALSE)</f>
        <v>2100</v>
      </c>
      <c r="D108" s="12">
        <f>VLOOKUP(A108,'Cleaned Data'!$A:$S,5,FALSE)</f>
        <v>428.05</v>
      </c>
      <c r="E108" s="12">
        <f>VLOOKUP(A108,'Cleaned Data'!$A:$S,6,FALSE)</f>
        <v>898905</v>
      </c>
    </row>
    <row r="109" spans="1:5" x14ac:dyDescent="0.25">
      <c r="A109" s="7" t="s">
        <v>106</v>
      </c>
      <c r="B109" s="12" t="str">
        <f>VLOOKUP(A109,'Cleaned Data'!A:S,2,FALSE)</f>
        <v>MEMS Pressure Sensor</v>
      </c>
      <c r="C109" s="12">
        <f>VLOOKUP(B109,'Cleaned Data'!B:T,3,FALSE)</f>
        <v>4050</v>
      </c>
      <c r="D109" s="12">
        <f>VLOOKUP(A109,'Cleaned Data'!$A:$S,5,FALSE)</f>
        <v>217.44</v>
      </c>
      <c r="E109" s="12">
        <f>VLOOKUP(A109,'Cleaned Data'!$A:$S,6,FALSE)</f>
        <v>880632</v>
      </c>
    </row>
    <row r="110" spans="1:5" x14ac:dyDescent="0.25">
      <c r="A110" s="2" t="s">
        <v>14</v>
      </c>
      <c r="B110" s="12" t="str">
        <f>VLOOKUP(A110,'Cleaned Data'!A:S,2,FALSE)</f>
        <v>CMOS Image Sensor (CIS)</v>
      </c>
      <c r="C110" s="12">
        <f>VLOOKUP(B110,'Cleaned Data'!B:T,3,FALSE)</f>
        <v>2200</v>
      </c>
      <c r="D110" s="12">
        <f>VLOOKUP(A110,'Cleaned Data'!$A:$S,5,FALSE)</f>
        <v>145.72</v>
      </c>
      <c r="E110" s="12">
        <f>VLOOKUP(A110,'Cleaned Data'!$A:$S,6,FALSE)</f>
        <v>320584</v>
      </c>
    </row>
    <row r="111" spans="1:5" x14ac:dyDescent="0.25">
      <c r="A111" s="7" t="s">
        <v>37</v>
      </c>
      <c r="B111" s="12" t="str">
        <f>VLOOKUP(A111,'Cleaned Data'!A:S,2,FALSE)</f>
        <v>Automotive MCU (16-bit)</v>
      </c>
      <c r="C111" s="12">
        <f>VLOOKUP(B111,'Cleaned Data'!B:T,3,FALSE)</f>
        <v>4400</v>
      </c>
      <c r="D111" s="12">
        <f>VLOOKUP(A111,'Cleaned Data'!$A:$S,5,FALSE)</f>
        <v>91.15</v>
      </c>
      <c r="E111" s="12">
        <f>VLOOKUP(A111,'Cleaned Data'!$A:$S,6,FALSE)</f>
        <v>401060</v>
      </c>
    </row>
    <row r="112" spans="1:5" x14ac:dyDescent="0.25">
      <c r="A112" s="2" t="s">
        <v>53</v>
      </c>
      <c r="B112" s="12" t="str">
        <f>VLOOKUP(A112,'Cleaned Data'!A:S,2,FALSE)</f>
        <v>Silicon Wafer 300mm</v>
      </c>
      <c r="C112" s="12">
        <f>VLOOKUP(B112,'Cleaned Data'!B:T,3,FALSE)</f>
        <v>4650</v>
      </c>
      <c r="D112" s="12">
        <f>VLOOKUP(A112,'Cleaned Data'!$A:$S,5,FALSE)</f>
        <v>83.69</v>
      </c>
      <c r="E112" s="12">
        <f>VLOOKUP(A112,'Cleaned Data'!$A:$S,6,FALSE)</f>
        <v>389158.5</v>
      </c>
    </row>
    <row r="113" spans="1:5" x14ac:dyDescent="0.25">
      <c r="A113" s="7" t="s">
        <v>30</v>
      </c>
      <c r="B113" s="12" t="str">
        <f>VLOOKUP(A113,'Cleaned Data'!A:S,2,FALSE)</f>
        <v>OLED Display Driver IC</v>
      </c>
      <c r="C113" s="12">
        <f>VLOOKUP(B113,'Cleaned Data'!B:T,3,FALSE)</f>
        <v>2900</v>
      </c>
      <c r="D113" s="12">
        <f>VLOOKUP(A113,'Cleaned Data'!$A:$S,5,FALSE)</f>
        <v>101.97</v>
      </c>
      <c r="E113" s="12">
        <f>VLOOKUP(A113,'Cleaned Data'!$A:$S,6,FALSE)</f>
        <v>295713</v>
      </c>
    </row>
    <row r="114" spans="1:5" x14ac:dyDescent="0.25">
      <c r="A114" s="2" t="s">
        <v>59</v>
      </c>
      <c r="B114" s="12" t="str">
        <f>VLOOKUP(A114,'Cleaned Data'!A:S,2,FALSE)</f>
        <v>GaN Fast Charger IC</v>
      </c>
      <c r="C114" s="12">
        <f>VLOOKUP(B114,'Cleaned Data'!B:T,3,FALSE)</f>
        <v>3850</v>
      </c>
      <c r="D114" s="12">
        <f>VLOOKUP(A114,'Cleaned Data'!$A:$S,5,FALSE)</f>
        <v>303.77999999999997</v>
      </c>
      <c r="E114" s="12">
        <f>VLOOKUP(A114,'Cleaned Data'!$A:$S,6,FALSE)</f>
        <v>1169553</v>
      </c>
    </row>
    <row r="115" spans="1:5" x14ac:dyDescent="0.25">
      <c r="A115" s="7" t="s">
        <v>30</v>
      </c>
      <c r="B115" s="12" t="str">
        <f>VLOOKUP(A115,'Cleaned Data'!A:S,2,FALSE)</f>
        <v>OLED Display Driver IC</v>
      </c>
      <c r="C115" s="12">
        <f>VLOOKUP(B115,'Cleaned Data'!B:T,3,FALSE)</f>
        <v>2900</v>
      </c>
      <c r="D115" s="12">
        <f>VLOOKUP(A115,'Cleaned Data'!$A:$S,5,FALSE)</f>
        <v>101.97</v>
      </c>
      <c r="E115" s="12">
        <f>VLOOKUP(A115,'Cleaned Data'!$A:$S,6,FALSE)</f>
        <v>295713</v>
      </c>
    </row>
    <row r="116" spans="1:5" x14ac:dyDescent="0.25">
      <c r="A116" s="2" t="s">
        <v>23</v>
      </c>
      <c r="B116" s="12" t="str">
        <f>VLOOKUP(A116,'Cleaned Data'!A:S,2,FALSE)</f>
        <v>GaAs RF Power Amp</v>
      </c>
      <c r="C116" s="12">
        <f>VLOOKUP(B116,'Cleaned Data'!B:T,3,FALSE)</f>
        <v>2600</v>
      </c>
      <c r="D116" s="12">
        <f>VLOOKUP(A116,'Cleaned Data'!$A:$S,5,FALSE)</f>
        <v>310.19</v>
      </c>
      <c r="E116" s="12">
        <f>VLOOKUP(A116,'Cleaned Data'!$A:$S,6,FALSE)</f>
        <v>806494</v>
      </c>
    </row>
    <row r="117" spans="1:5" x14ac:dyDescent="0.25">
      <c r="A117" s="7" t="s">
        <v>30</v>
      </c>
      <c r="B117" s="12" t="str">
        <f>VLOOKUP(A117,'Cleaned Data'!A:S,2,FALSE)</f>
        <v>OLED Display Driver IC</v>
      </c>
      <c r="C117" s="12">
        <f>VLOOKUP(B117,'Cleaned Data'!B:T,3,FALSE)</f>
        <v>2900</v>
      </c>
      <c r="D117" s="12">
        <f>VLOOKUP(A117,'Cleaned Data'!$A:$S,5,FALSE)</f>
        <v>101.97</v>
      </c>
      <c r="E117" s="12">
        <f>VLOOKUP(A117,'Cleaned Data'!$A:$S,6,FALSE)</f>
        <v>295713</v>
      </c>
    </row>
    <row r="118" spans="1:5" x14ac:dyDescent="0.25">
      <c r="A118" s="2" t="s">
        <v>59</v>
      </c>
      <c r="B118" s="12" t="str">
        <f>VLOOKUP(A118,'Cleaned Data'!A:S,2,FALSE)</f>
        <v>GaN Fast Charger IC</v>
      </c>
      <c r="C118" s="12">
        <f>VLOOKUP(B118,'Cleaned Data'!B:T,3,FALSE)</f>
        <v>3850</v>
      </c>
      <c r="D118" s="12">
        <f>VLOOKUP(A118,'Cleaned Data'!$A:$S,5,FALSE)</f>
        <v>303.77999999999997</v>
      </c>
      <c r="E118" s="12">
        <f>VLOOKUP(A118,'Cleaned Data'!$A:$S,6,FALSE)</f>
        <v>1169553</v>
      </c>
    </row>
    <row r="119" spans="1:5" x14ac:dyDescent="0.25">
      <c r="A119" s="7" t="s">
        <v>53</v>
      </c>
      <c r="B119" s="12" t="str">
        <f>VLOOKUP(A119,'Cleaned Data'!A:S,2,FALSE)</f>
        <v>Silicon Wafer 300mm</v>
      </c>
      <c r="C119" s="12">
        <f>VLOOKUP(B119,'Cleaned Data'!B:T,3,FALSE)</f>
        <v>4650</v>
      </c>
      <c r="D119" s="12">
        <f>VLOOKUP(A119,'Cleaned Data'!$A:$S,5,FALSE)</f>
        <v>83.69</v>
      </c>
      <c r="E119" s="12">
        <f>VLOOKUP(A119,'Cleaned Data'!$A:$S,6,FALSE)</f>
        <v>389158.5</v>
      </c>
    </row>
    <row r="120" spans="1:5" x14ac:dyDescent="0.25">
      <c r="A120" s="2" t="s">
        <v>89</v>
      </c>
      <c r="B120" s="12" t="str">
        <f>VLOOKUP(A120,'Cleaned Data'!A:S,2,FALSE)</f>
        <v>NAND Flash 3D 128-Layer</v>
      </c>
      <c r="C120" s="12">
        <f>VLOOKUP(B120,'Cleaned Data'!B:T,3,FALSE)</f>
        <v>4750</v>
      </c>
      <c r="D120" s="12">
        <f>VLOOKUP(A120,'Cleaned Data'!$A:$S,5,FALSE)</f>
        <v>113.1</v>
      </c>
      <c r="E120" s="12">
        <f>VLOOKUP(A120,'Cleaned Data'!$A:$S,6,FALSE)</f>
        <v>537225</v>
      </c>
    </row>
    <row r="121" spans="1:5" x14ac:dyDescent="0.25">
      <c r="A121" s="7" t="s">
        <v>106</v>
      </c>
      <c r="B121" s="12" t="str">
        <f>VLOOKUP(A121,'Cleaned Data'!A:S,2,FALSE)</f>
        <v>MEMS Pressure Sensor</v>
      </c>
      <c r="C121" s="12">
        <f>VLOOKUP(B121,'Cleaned Data'!B:T,3,FALSE)</f>
        <v>4050</v>
      </c>
      <c r="D121" s="12">
        <f>VLOOKUP(A121,'Cleaned Data'!$A:$S,5,FALSE)</f>
        <v>217.44</v>
      </c>
      <c r="E121" s="12">
        <f>VLOOKUP(A121,'Cleaned Data'!$A:$S,6,FALSE)</f>
        <v>880632</v>
      </c>
    </row>
    <row r="122" spans="1:5" x14ac:dyDescent="0.25">
      <c r="A122" s="2" t="s">
        <v>14</v>
      </c>
      <c r="B122" s="12" t="str">
        <f>VLOOKUP(A122,'Cleaned Data'!A:S,2,FALSE)</f>
        <v>CMOS Image Sensor (CIS)</v>
      </c>
      <c r="C122" s="12">
        <f>VLOOKUP(B122,'Cleaned Data'!B:T,3,FALSE)</f>
        <v>2200</v>
      </c>
      <c r="D122" s="12">
        <f>VLOOKUP(A122,'Cleaned Data'!$A:$S,5,FALSE)</f>
        <v>145.72</v>
      </c>
      <c r="E122" s="12">
        <f>VLOOKUP(A122,'Cleaned Data'!$A:$S,6,FALSE)</f>
        <v>320584</v>
      </c>
    </row>
    <row r="123" spans="1:5" x14ac:dyDescent="0.25">
      <c r="A123" s="7" t="s">
        <v>23</v>
      </c>
      <c r="B123" s="12" t="str">
        <f>VLOOKUP(A123,'Cleaned Data'!A:S,2,FALSE)</f>
        <v>GaAs RF Power Amp</v>
      </c>
      <c r="C123" s="12">
        <f>VLOOKUP(B123,'Cleaned Data'!B:T,3,FALSE)</f>
        <v>2600</v>
      </c>
      <c r="D123" s="12">
        <f>VLOOKUP(A123,'Cleaned Data'!$A:$S,5,FALSE)</f>
        <v>310.19</v>
      </c>
      <c r="E123" s="12">
        <f>VLOOKUP(A123,'Cleaned Data'!$A:$S,6,FALSE)</f>
        <v>806494</v>
      </c>
    </row>
    <row r="124" spans="1:5" x14ac:dyDescent="0.25">
      <c r="A124" s="2" t="s">
        <v>37</v>
      </c>
      <c r="B124" s="12" t="str">
        <f>VLOOKUP(A124,'Cleaned Data'!A:S,2,FALSE)</f>
        <v>Automotive MCU (16-bit)</v>
      </c>
      <c r="C124" s="12">
        <f>VLOOKUP(B124,'Cleaned Data'!B:T,3,FALSE)</f>
        <v>4400</v>
      </c>
      <c r="D124" s="12">
        <f>VLOOKUP(A124,'Cleaned Data'!$A:$S,5,FALSE)</f>
        <v>91.15</v>
      </c>
      <c r="E124" s="12">
        <f>VLOOKUP(A124,'Cleaned Data'!$A:$S,6,FALSE)</f>
        <v>401060</v>
      </c>
    </row>
    <row r="125" spans="1:5" x14ac:dyDescent="0.25">
      <c r="A125" s="7" t="s">
        <v>53</v>
      </c>
      <c r="B125" s="12" t="str">
        <f>VLOOKUP(A125,'Cleaned Data'!A:S,2,FALSE)</f>
        <v>Silicon Wafer 300mm</v>
      </c>
      <c r="C125" s="12">
        <f>VLOOKUP(B125,'Cleaned Data'!B:T,3,FALSE)</f>
        <v>4650</v>
      </c>
      <c r="D125" s="12">
        <f>VLOOKUP(A125,'Cleaned Data'!$A:$S,5,FALSE)</f>
        <v>83.69</v>
      </c>
      <c r="E125" s="12">
        <f>VLOOKUP(A125,'Cleaned Data'!$A:$S,6,FALSE)</f>
        <v>389158.5</v>
      </c>
    </row>
    <row r="126" spans="1:5" x14ac:dyDescent="0.25">
      <c r="A126" s="2" t="s">
        <v>37</v>
      </c>
      <c r="B126" s="12" t="str">
        <f>VLOOKUP(A126,'Cleaned Data'!A:S,2,FALSE)</f>
        <v>Automotive MCU (16-bit)</v>
      </c>
      <c r="C126" s="12">
        <f>VLOOKUP(B126,'Cleaned Data'!B:T,3,FALSE)</f>
        <v>4400</v>
      </c>
      <c r="D126" s="12">
        <f>VLOOKUP(A126,'Cleaned Data'!$A:$S,5,FALSE)</f>
        <v>91.15</v>
      </c>
      <c r="E126" s="12">
        <f>VLOOKUP(A126,'Cleaned Data'!$A:$S,6,FALSE)</f>
        <v>401060</v>
      </c>
    </row>
    <row r="127" spans="1:5" x14ac:dyDescent="0.25">
      <c r="A127" s="7" t="s">
        <v>53</v>
      </c>
      <c r="B127" s="12" t="str">
        <f>VLOOKUP(A127,'Cleaned Data'!A:S,2,FALSE)</f>
        <v>Silicon Wafer 300mm</v>
      </c>
      <c r="C127" s="12">
        <f>VLOOKUP(B127,'Cleaned Data'!B:T,3,FALSE)</f>
        <v>4650</v>
      </c>
      <c r="D127" s="12">
        <f>VLOOKUP(A127,'Cleaned Data'!$A:$S,5,FALSE)</f>
        <v>83.69</v>
      </c>
      <c r="E127" s="12">
        <f>VLOOKUP(A127,'Cleaned Data'!$A:$S,6,FALSE)</f>
        <v>389158.5</v>
      </c>
    </row>
    <row r="128" spans="1:5" x14ac:dyDescent="0.25">
      <c r="A128" s="2" t="s">
        <v>45</v>
      </c>
      <c r="B128" s="12" t="str">
        <f>VLOOKUP(A128,'Cleaned Data'!A:S,2,FALSE)</f>
        <v>IGBT Power Module</v>
      </c>
      <c r="C128" s="12">
        <f>VLOOKUP(B128,'Cleaned Data'!B:T,3,FALSE)</f>
        <v>3300</v>
      </c>
      <c r="D128" s="12">
        <f>VLOOKUP(A128,'Cleaned Data'!$A:$S,5,FALSE)</f>
        <v>135.15</v>
      </c>
      <c r="E128" s="12">
        <f>VLOOKUP(A128,'Cleaned Data'!$A:$S,6,FALSE)</f>
        <v>445995</v>
      </c>
    </row>
    <row r="129" spans="1:5" x14ac:dyDescent="0.25">
      <c r="A129" s="7" t="s">
        <v>14</v>
      </c>
      <c r="B129" s="12" t="str">
        <f>VLOOKUP(A129,'Cleaned Data'!A:S,2,FALSE)</f>
        <v>CMOS Image Sensor (CIS)</v>
      </c>
      <c r="C129" s="12">
        <f>VLOOKUP(B129,'Cleaned Data'!B:T,3,FALSE)</f>
        <v>2200</v>
      </c>
      <c r="D129" s="12">
        <f>VLOOKUP(A129,'Cleaned Data'!$A:$S,5,FALSE)</f>
        <v>145.72</v>
      </c>
      <c r="E129" s="12">
        <f>VLOOKUP(A129,'Cleaned Data'!$A:$S,6,FALSE)</f>
        <v>320584</v>
      </c>
    </row>
    <row r="130" spans="1:5" x14ac:dyDescent="0.25">
      <c r="A130" s="2" t="s">
        <v>53</v>
      </c>
      <c r="B130" s="12" t="str">
        <f>VLOOKUP(A130,'Cleaned Data'!A:S,2,FALSE)</f>
        <v>Silicon Wafer 300mm</v>
      </c>
      <c r="C130" s="12">
        <f>VLOOKUP(B130,'Cleaned Data'!B:T,3,FALSE)</f>
        <v>4650</v>
      </c>
      <c r="D130" s="12">
        <f>VLOOKUP(A130,'Cleaned Data'!$A:$S,5,FALSE)</f>
        <v>83.69</v>
      </c>
      <c r="E130" s="12">
        <f>VLOOKUP(A130,'Cleaned Data'!$A:$S,6,FALSE)</f>
        <v>389158.5</v>
      </c>
    </row>
    <row r="131" spans="1:5" x14ac:dyDescent="0.25">
      <c r="A131" s="7" t="s">
        <v>37</v>
      </c>
      <c r="B131" s="12" t="str">
        <f>VLOOKUP(A131,'Cleaned Data'!A:S,2,FALSE)</f>
        <v>Automotive MCU (16-bit)</v>
      </c>
      <c r="C131" s="12">
        <f>VLOOKUP(B131,'Cleaned Data'!B:T,3,FALSE)</f>
        <v>4400</v>
      </c>
      <c r="D131" s="12">
        <f>VLOOKUP(A131,'Cleaned Data'!$A:$S,5,FALSE)</f>
        <v>91.15</v>
      </c>
      <c r="E131" s="12">
        <f>VLOOKUP(A131,'Cleaned Data'!$A:$S,6,FALSE)</f>
        <v>401060</v>
      </c>
    </row>
    <row r="132" spans="1:5" x14ac:dyDescent="0.25">
      <c r="A132" s="2" t="s">
        <v>53</v>
      </c>
      <c r="B132" s="12" t="str">
        <f>VLOOKUP(A132,'Cleaned Data'!A:S,2,FALSE)</f>
        <v>Silicon Wafer 300mm</v>
      </c>
      <c r="C132" s="12">
        <f>VLOOKUP(B132,'Cleaned Data'!B:T,3,FALSE)</f>
        <v>4650</v>
      </c>
      <c r="D132" s="12">
        <f>VLOOKUP(A132,'Cleaned Data'!$A:$S,5,FALSE)</f>
        <v>83.69</v>
      </c>
      <c r="E132" s="12">
        <f>VLOOKUP(A132,'Cleaned Data'!$A:$S,6,FALSE)</f>
        <v>389158.5</v>
      </c>
    </row>
    <row r="133" spans="1:5" x14ac:dyDescent="0.25">
      <c r="A133" s="7" t="s">
        <v>37</v>
      </c>
      <c r="B133" s="12" t="str">
        <f>VLOOKUP(A133,'Cleaned Data'!A:S,2,FALSE)</f>
        <v>Automotive MCU (16-bit)</v>
      </c>
      <c r="C133" s="12">
        <f>VLOOKUP(B133,'Cleaned Data'!B:T,3,FALSE)</f>
        <v>4400</v>
      </c>
      <c r="D133" s="12">
        <f>VLOOKUP(A133,'Cleaned Data'!$A:$S,5,FALSE)</f>
        <v>91.15</v>
      </c>
      <c r="E133" s="12">
        <f>VLOOKUP(A133,'Cleaned Data'!$A:$S,6,FALSE)</f>
        <v>401060</v>
      </c>
    </row>
    <row r="134" spans="1:5" x14ac:dyDescent="0.25">
      <c r="A134" s="2" t="s">
        <v>37</v>
      </c>
      <c r="B134" s="12" t="str">
        <f>VLOOKUP(A134,'Cleaned Data'!A:S,2,FALSE)</f>
        <v>Automotive MCU (16-bit)</v>
      </c>
      <c r="C134" s="12">
        <f>VLOOKUP(B134,'Cleaned Data'!B:T,3,FALSE)</f>
        <v>4400</v>
      </c>
      <c r="D134" s="12">
        <f>VLOOKUP(A134,'Cleaned Data'!$A:$S,5,FALSE)</f>
        <v>91.15</v>
      </c>
      <c r="E134" s="12">
        <f>VLOOKUP(A134,'Cleaned Data'!$A:$S,6,FALSE)</f>
        <v>401060</v>
      </c>
    </row>
    <row r="135" spans="1:5" x14ac:dyDescent="0.25">
      <c r="A135" s="7" t="s">
        <v>14</v>
      </c>
      <c r="B135" s="12" t="str">
        <f>VLOOKUP(A135,'Cleaned Data'!A:S,2,FALSE)</f>
        <v>CMOS Image Sensor (CIS)</v>
      </c>
      <c r="C135" s="12">
        <f>VLOOKUP(B135,'Cleaned Data'!B:T,3,FALSE)</f>
        <v>2200</v>
      </c>
      <c r="D135" s="12">
        <f>VLOOKUP(A135,'Cleaned Data'!$A:$S,5,FALSE)</f>
        <v>145.72</v>
      </c>
      <c r="E135" s="12">
        <f>VLOOKUP(A135,'Cleaned Data'!$A:$S,6,FALSE)</f>
        <v>320584</v>
      </c>
    </row>
    <row r="136" spans="1:5" x14ac:dyDescent="0.25">
      <c r="A136" s="2" t="s">
        <v>37</v>
      </c>
      <c r="B136" s="12" t="str">
        <f>VLOOKUP(A136,'Cleaned Data'!A:S,2,FALSE)</f>
        <v>Automotive MCU (16-bit)</v>
      </c>
      <c r="C136" s="12">
        <f>VLOOKUP(B136,'Cleaned Data'!B:T,3,FALSE)</f>
        <v>4400</v>
      </c>
      <c r="D136" s="12">
        <f>VLOOKUP(A136,'Cleaned Data'!$A:$S,5,FALSE)</f>
        <v>91.15</v>
      </c>
      <c r="E136" s="12">
        <f>VLOOKUP(A136,'Cleaned Data'!$A:$S,6,FALSE)</f>
        <v>401060</v>
      </c>
    </row>
    <row r="137" spans="1:5" x14ac:dyDescent="0.25">
      <c r="A137" s="7" t="s">
        <v>106</v>
      </c>
      <c r="B137" s="12" t="str">
        <f>VLOOKUP(A137,'Cleaned Data'!A:S,2,FALSE)</f>
        <v>MEMS Pressure Sensor</v>
      </c>
      <c r="C137" s="12">
        <f>VLOOKUP(B137,'Cleaned Data'!B:T,3,FALSE)</f>
        <v>4050</v>
      </c>
      <c r="D137" s="12">
        <f>VLOOKUP(A137,'Cleaned Data'!$A:$S,5,FALSE)</f>
        <v>217.44</v>
      </c>
      <c r="E137" s="12">
        <f>VLOOKUP(A137,'Cleaned Data'!$A:$S,6,FALSE)</f>
        <v>880632</v>
      </c>
    </row>
    <row r="138" spans="1:5" x14ac:dyDescent="0.25">
      <c r="A138" s="2" t="s">
        <v>53</v>
      </c>
      <c r="B138" s="12" t="str">
        <f>VLOOKUP(A138,'Cleaned Data'!A:S,2,FALSE)</f>
        <v>Silicon Wafer 300mm</v>
      </c>
      <c r="C138" s="12">
        <f>VLOOKUP(B138,'Cleaned Data'!B:T,3,FALSE)</f>
        <v>4650</v>
      </c>
      <c r="D138" s="12">
        <f>VLOOKUP(A138,'Cleaned Data'!$A:$S,5,FALSE)</f>
        <v>83.69</v>
      </c>
      <c r="E138" s="12">
        <f>VLOOKUP(A138,'Cleaned Data'!$A:$S,6,FALSE)</f>
        <v>389158.5</v>
      </c>
    </row>
    <row r="139" spans="1:5" x14ac:dyDescent="0.25">
      <c r="A139" s="7" t="s">
        <v>45</v>
      </c>
      <c r="B139" s="12" t="str">
        <f>VLOOKUP(A139,'Cleaned Data'!A:S,2,FALSE)</f>
        <v>IGBT Power Module</v>
      </c>
      <c r="C139" s="12">
        <f>VLOOKUP(B139,'Cleaned Data'!B:T,3,FALSE)</f>
        <v>3300</v>
      </c>
      <c r="D139" s="12">
        <f>VLOOKUP(A139,'Cleaned Data'!$A:$S,5,FALSE)</f>
        <v>135.15</v>
      </c>
      <c r="E139" s="12">
        <f>VLOOKUP(A139,'Cleaned Data'!$A:$S,6,FALSE)</f>
        <v>445995</v>
      </c>
    </row>
    <row r="140" spans="1:5" x14ac:dyDescent="0.25">
      <c r="A140" s="2" t="s">
        <v>37</v>
      </c>
      <c r="B140" s="12" t="str">
        <f>VLOOKUP(A140,'Cleaned Data'!A:S,2,FALSE)</f>
        <v>Automotive MCU (16-bit)</v>
      </c>
      <c r="C140" s="12">
        <f>VLOOKUP(B140,'Cleaned Data'!B:T,3,FALSE)</f>
        <v>4400</v>
      </c>
      <c r="D140" s="12">
        <f>VLOOKUP(A140,'Cleaned Data'!$A:$S,5,FALSE)</f>
        <v>91.15</v>
      </c>
      <c r="E140" s="12">
        <f>VLOOKUP(A140,'Cleaned Data'!$A:$S,6,FALSE)</f>
        <v>401060</v>
      </c>
    </row>
    <row r="141" spans="1:5" x14ac:dyDescent="0.25">
      <c r="A141" s="7" t="s">
        <v>89</v>
      </c>
      <c r="B141" s="12" t="str">
        <f>VLOOKUP(A141,'Cleaned Data'!A:S,2,FALSE)</f>
        <v>NAND Flash 3D 128-Layer</v>
      </c>
      <c r="C141" s="12">
        <f>VLOOKUP(B141,'Cleaned Data'!B:T,3,FALSE)</f>
        <v>4750</v>
      </c>
      <c r="D141" s="12">
        <f>VLOOKUP(A141,'Cleaned Data'!$A:$S,5,FALSE)</f>
        <v>113.1</v>
      </c>
      <c r="E141" s="12">
        <f>VLOOKUP(A141,'Cleaned Data'!$A:$S,6,FALSE)</f>
        <v>537225</v>
      </c>
    </row>
    <row r="142" spans="1:5" x14ac:dyDescent="0.25">
      <c r="A142" s="2" t="s">
        <v>89</v>
      </c>
      <c r="B142" s="12" t="str">
        <f>VLOOKUP(A142,'Cleaned Data'!A:S,2,FALSE)</f>
        <v>NAND Flash 3D 128-Layer</v>
      </c>
      <c r="C142" s="12">
        <f>VLOOKUP(B142,'Cleaned Data'!B:T,3,FALSE)</f>
        <v>4750</v>
      </c>
      <c r="D142" s="12">
        <f>VLOOKUP(A142,'Cleaned Data'!$A:$S,5,FALSE)</f>
        <v>113.1</v>
      </c>
      <c r="E142" s="12">
        <f>VLOOKUP(A142,'Cleaned Data'!$A:$S,6,FALSE)</f>
        <v>537225</v>
      </c>
    </row>
    <row r="143" spans="1:5" x14ac:dyDescent="0.25">
      <c r="A143" s="7" t="s">
        <v>59</v>
      </c>
      <c r="B143" s="12" t="str">
        <f>VLOOKUP(A143,'Cleaned Data'!A:S,2,FALSE)</f>
        <v>GaN Fast Charger IC</v>
      </c>
      <c r="C143" s="12">
        <f>VLOOKUP(B143,'Cleaned Data'!B:T,3,FALSE)</f>
        <v>3850</v>
      </c>
      <c r="D143" s="12">
        <f>VLOOKUP(A143,'Cleaned Data'!$A:$S,5,FALSE)</f>
        <v>303.77999999999997</v>
      </c>
      <c r="E143" s="12">
        <f>VLOOKUP(A143,'Cleaned Data'!$A:$S,6,FALSE)</f>
        <v>1169553</v>
      </c>
    </row>
    <row r="144" spans="1:5" x14ac:dyDescent="0.25">
      <c r="A144" s="2" t="s">
        <v>106</v>
      </c>
      <c r="B144" s="12" t="str">
        <f>VLOOKUP(A144,'Cleaned Data'!A:S,2,FALSE)</f>
        <v>MEMS Pressure Sensor</v>
      </c>
      <c r="C144" s="12">
        <f>VLOOKUP(B144,'Cleaned Data'!B:T,3,FALSE)</f>
        <v>4050</v>
      </c>
      <c r="D144" s="12">
        <f>VLOOKUP(A144,'Cleaned Data'!$A:$S,5,FALSE)</f>
        <v>217.44</v>
      </c>
      <c r="E144" s="12">
        <f>VLOOKUP(A144,'Cleaned Data'!$A:$S,6,FALSE)</f>
        <v>880632</v>
      </c>
    </row>
    <row r="145" spans="1:5" x14ac:dyDescent="0.25">
      <c r="A145" s="7" t="s">
        <v>14</v>
      </c>
      <c r="B145" s="12" t="str">
        <f>VLOOKUP(A145,'Cleaned Data'!A:S,2,FALSE)</f>
        <v>CMOS Image Sensor (CIS)</v>
      </c>
      <c r="C145" s="12">
        <f>VLOOKUP(B145,'Cleaned Data'!B:T,3,FALSE)</f>
        <v>2200</v>
      </c>
      <c r="D145" s="12">
        <f>VLOOKUP(A145,'Cleaned Data'!$A:$S,5,FALSE)</f>
        <v>145.72</v>
      </c>
      <c r="E145" s="12">
        <f>VLOOKUP(A145,'Cleaned Data'!$A:$S,6,FALSE)</f>
        <v>320584</v>
      </c>
    </row>
    <row r="146" spans="1:5" x14ac:dyDescent="0.25">
      <c r="A146" s="2" t="s">
        <v>37</v>
      </c>
      <c r="B146" s="12" t="str">
        <f>VLOOKUP(A146,'Cleaned Data'!A:S,2,FALSE)</f>
        <v>Automotive MCU (16-bit)</v>
      </c>
      <c r="C146" s="12">
        <f>VLOOKUP(B146,'Cleaned Data'!B:T,3,FALSE)</f>
        <v>4400</v>
      </c>
      <c r="D146" s="12">
        <f>VLOOKUP(A146,'Cleaned Data'!$A:$S,5,FALSE)</f>
        <v>91.15</v>
      </c>
      <c r="E146" s="12">
        <f>VLOOKUP(A146,'Cleaned Data'!$A:$S,6,FALSE)</f>
        <v>401060</v>
      </c>
    </row>
    <row r="147" spans="1:5" x14ac:dyDescent="0.25">
      <c r="A147" s="7" t="s">
        <v>23</v>
      </c>
      <c r="B147" s="12" t="str">
        <f>VLOOKUP(A147,'Cleaned Data'!A:S,2,FALSE)</f>
        <v>GaAs RF Power Amp</v>
      </c>
      <c r="C147" s="12">
        <f>VLOOKUP(B147,'Cleaned Data'!B:T,3,FALSE)</f>
        <v>2600</v>
      </c>
      <c r="D147" s="12">
        <f>VLOOKUP(A147,'Cleaned Data'!$A:$S,5,FALSE)</f>
        <v>310.19</v>
      </c>
      <c r="E147" s="12">
        <f>VLOOKUP(A147,'Cleaned Data'!$A:$S,6,FALSE)</f>
        <v>806494</v>
      </c>
    </row>
    <row r="148" spans="1:5" x14ac:dyDescent="0.25">
      <c r="A148" s="2" t="s">
        <v>45</v>
      </c>
      <c r="B148" s="12" t="str">
        <f>VLOOKUP(A148,'Cleaned Data'!A:S,2,FALSE)</f>
        <v>IGBT Power Module</v>
      </c>
      <c r="C148" s="12">
        <f>VLOOKUP(B148,'Cleaned Data'!B:T,3,FALSE)</f>
        <v>3300</v>
      </c>
      <c r="D148" s="12">
        <f>VLOOKUP(A148,'Cleaned Data'!$A:$S,5,FALSE)</f>
        <v>135.15</v>
      </c>
      <c r="E148" s="12">
        <f>VLOOKUP(A148,'Cleaned Data'!$A:$S,6,FALSE)</f>
        <v>445995</v>
      </c>
    </row>
    <row r="149" spans="1:5" x14ac:dyDescent="0.25">
      <c r="A149" s="7" t="s">
        <v>23</v>
      </c>
      <c r="B149" s="12" t="str">
        <f>VLOOKUP(A149,'Cleaned Data'!A:S,2,FALSE)</f>
        <v>GaAs RF Power Amp</v>
      </c>
      <c r="C149" s="12">
        <f>VLOOKUP(B149,'Cleaned Data'!B:T,3,FALSE)</f>
        <v>2600</v>
      </c>
      <c r="D149" s="12">
        <f>VLOOKUP(A149,'Cleaned Data'!$A:$S,5,FALSE)</f>
        <v>310.19</v>
      </c>
      <c r="E149" s="12">
        <f>VLOOKUP(A149,'Cleaned Data'!$A:$S,6,FALSE)</f>
        <v>806494</v>
      </c>
    </row>
    <row r="150" spans="1:5" x14ac:dyDescent="0.25">
      <c r="A150" s="2" t="s">
        <v>30</v>
      </c>
      <c r="B150" s="12" t="str">
        <f>VLOOKUP(A150,'Cleaned Data'!A:S,2,FALSE)</f>
        <v>OLED Display Driver IC</v>
      </c>
      <c r="C150" s="12">
        <f>VLOOKUP(B150,'Cleaned Data'!B:T,3,FALSE)</f>
        <v>2900</v>
      </c>
      <c r="D150" s="12">
        <f>VLOOKUP(A150,'Cleaned Data'!$A:$S,5,FALSE)</f>
        <v>101.97</v>
      </c>
      <c r="E150" s="12">
        <f>VLOOKUP(A150,'Cleaned Data'!$A:$S,6,FALSE)</f>
        <v>295713</v>
      </c>
    </row>
    <row r="151" spans="1:5" x14ac:dyDescent="0.25">
      <c r="A151" s="7" t="s">
        <v>45</v>
      </c>
      <c r="B151" s="12" t="str">
        <f>VLOOKUP(A151,'Cleaned Data'!A:S,2,FALSE)</f>
        <v>IGBT Power Module</v>
      </c>
      <c r="C151" s="12">
        <f>VLOOKUP(B151,'Cleaned Data'!B:T,3,FALSE)</f>
        <v>3300</v>
      </c>
      <c r="D151" s="12">
        <f>VLOOKUP(A151,'Cleaned Data'!$A:$S,5,FALSE)</f>
        <v>135.15</v>
      </c>
      <c r="E151" s="12">
        <f>VLOOKUP(A151,'Cleaned Data'!$A:$S,6,FALSE)</f>
        <v>445995</v>
      </c>
    </row>
    <row r="152" spans="1:5" x14ac:dyDescent="0.25">
      <c r="A152" s="2" t="s">
        <v>67</v>
      </c>
      <c r="B152" s="12" t="str">
        <f>VLOOKUP(A152,'Cleaned Data'!A:S,2,FALSE)</f>
        <v>AI Accelerator GPU</v>
      </c>
      <c r="C152" s="12">
        <f>VLOOKUP(B152,'Cleaned Data'!B:T,3,FALSE)</f>
        <v>2100</v>
      </c>
      <c r="D152" s="12">
        <f>VLOOKUP(A152,'Cleaned Data'!$A:$S,5,FALSE)</f>
        <v>428.05</v>
      </c>
      <c r="E152" s="12">
        <f>VLOOKUP(A152,'Cleaned Data'!$A:$S,6,FALSE)</f>
        <v>898905</v>
      </c>
    </row>
    <row r="153" spans="1:5" x14ac:dyDescent="0.25">
      <c r="A153" s="7" t="s">
        <v>59</v>
      </c>
      <c r="B153" s="12" t="str">
        <f>VLOOKUP(A153,'Cleaned Data'!A:S,2,FALSE)</f>
        <v>GaN Fast Charger IC</v>
      </c>
      <c r="C153" s="12">
        <f>VLOOKUP(B153,'Cleaned Data'!B:T,3,FALSE)</f>
        <v>3850</v>
      </c>
      <c r="D153" s="12">
        <f>VLOOKUP(A153,'Cleaned Data'!$A:$S,5,FALSE)</f>
        <v>303.77999999999997</v>
      </c>
      <c r="E153" s="12">
        <f>VLOOKUP(A153,'Cleaned Data'!$A:$S,6,FALSE)</f>
        <v>1169553</v>
      </c>
    </row>
    <row r="154" spans="1:5" x14ac:dyDescent="0.25">
      <c r="A154" s="2" t="s">
        <v>89</v>
      </c>
      <c r="B154" s="12" t="str">
        <f>VLOOKUP(A154,'Cleaned Data'!A:S,2,FALSE)</f>
        <v>NAND Flash 3D 128-Layer</v>
      </c>
      <c r="C154" s="12">
        <f>VLOOKUP(B154,'Cleaned Data'!B:T,3,FALSE)</f>
        <v>4750</v>
      </c>
      <c r="D154" s="12">
        <f>VLOOKUP(A154,'Cleaned Data'!$A:$S,5,FALSE)</f>
        <v>113.1</v>
      </c>
      <c r="E154" s="12">
        <f>VLOOKUP(A154,'Cleaned Data'!$A:$S,6,FALSE)</f>
        <v>537225</v>
      </c>
    </row>
    <row r="155" spans="1:5" x14ac:dyDescent="0.25">
      <c r="A155" s="7" t="s">
        <v>53</v>
      </c>
      <c r="B155" s="12" t="str">
        <f>VLOOKUP(A155,'Cleaned Data'!A:S,2,FALSE)</f>
        <v>Silicon Wafer 300mm</v>
      </c>
      <c r="C155" s="12">
        <f>VLOOKUP(B155,'Cleaned Data'!B:T,3,FALSE)</f>
        <v>4650</v>
      </c>
      <c r="D155" s="12">
        <f>VLOOKUP(A155,'Cleaned Data'!$A:$S,5,FALSE)</f>
        <v>83.69</v>
      </c>
      <c r="E155" s="12">
        <f>VLOOKUP(A155,'Cleaned Data'!$A:$S,6,FALSE)</f>
        <v>389158.5</v>
      </c>
    </row>
    <row r="156" spans="1:5" x14ac:dyDescent="0.25">
      <c r="A156" s="2" t="s">
        <v>67</v>
      </c>
      <c r="B156" s="12" t="str">
        <f>VLOOKUP(A156,'Cleaned Data'!A:S,2,FALSE)</f>
        <v>AI Accelerator GPU</v>
      </c>
      <c r="C156" s="12">
        <f>VLOOKUP(B156,'Cleaned Data'!B:T,3,FALSE)</f>
        <v>2100</v>
      </c>
      <c r="D156" s="12">
        <f>VLOOKUP(A156,'Cleaned Data'!$A:$S,5,FALSE)</f>
        <v>428.05</v>
      </c>
      <c r="E156" s="12">
        <f>VLOOKUP(A156,'Cleaned Data'!$A:$S,6,FALSE)</f>
        <v>898905</v>
      </c>
    </row>
    <row r="157" spans="1:5" x14ac:dyDescent="0.25">
      <c r="A157" s="7" t="s">
        <v>30</v>
      </c>
      <c r="B157" s="12" t="str">
        <f>VLOOKUP(A157,'Cleaned Data'!A:S,2,FALSE)</f>
        <v>OLED Display Driver IC</v>
      </c>
      <c r="C157" s="12">
        <f>VLOOKUP(B157,'Cleaned Data'!B:T,3,FALSE)</f>
        <v>2900</v>
      </c>
      <c r="D157" s="12">
        <f>VLOOKUP(A157,'Cleaned Data'!$A:$S,5,FALSE)</f>
        <v>101.97</v>
      </c>
      <c r="E157" s="12">
        <f>VLOOKUP(A157,'Cleaned Data'!$A:$S,6,FALSE)</f>
        <v>295713</v>
      </c>
    </row>
    <row r="158" spans="1:5" x14ac:dyDescent="0.25">
      <c r="A158" s="2" t="s">
        <v>53</v>
      </c>
      <c r="B158" s="12" t="str">
        <f>VLOOKUP(A158,'Cleaned Data'!A:S,2,FALSE)</f>
        <v>Silicon Wafer 300mm</v>
      </c>
      <c r="C158" s="12">
        <f>VLOOKUP(B158,'Cleaned Data'!B:T,3,FALSE)</f>
        <v>4650</v>
      </c>
      <c r="D158" s="12">
        <f>VLOOKUP(A158,'Cleaned Data'!$A:$S,5,FALSE)</f>
        <v>83.69</v>
      </c>
      <c r="E158" s="12">
        <f>VLOOKUP(A158,'Cleaned Data'!$A:$S,6,FALSE)</f>
        <v>389158.5</v>
      </c>
    </row>
    <row r="159" spans="1:5" x14ac:dyDescent="0.25">
      <c r="A159" s="7" t="s">
        <v>45</v>
      </c>
      <c r="B159" s="12" t="str">
        <f>VLOOKUP(A159,'Cleaned Data'!A:S,2,FALSE)</f>
        <v>IGBT Power Module</v>
      </c>
      <c r="C159" s="12">
        <f>VLOOKUP(B159,'Cleaned Data'!B:T,3,FALSE)</f>
        <v>3300</v>
      </c>
      <c r="D159" s="12">
        <f>VLOOKUP(A159,'Cleaned Data'!$A:$S,5,FALSE)</f>
        <v>135.15</v>
      </c>
      <c r="E159" s="12">
        <f>VLOOKUP(A159,'Cleaned Data'!$A:$S,6,FALSE)</f>
        <v>445995</v>
      </c>
    </row>
    <row r="160" spans="1:5" x14ac:dyDescent="0.25">
      <c r="A160" s="2" t="s">
        <v>37</v>
      </c>
      <c r="B160" s="12" t="str">
        <f>VLOOKUP(A160,'Cleaned Data'!A:S,2,FALSE)</f>
        <v>Automotive MCU (16-bit)</v>
      </c>
      <c r="C160" s="12">
        <f>VLOOKUP(B160,'Cleaned Data'!B:T,3,FALSE)</f>
        <v>4400</v>
      </c>
      <c r="D160" s="12">
        <f>VLOOKUP(A160,'Cleaned Data'!$A:$S,5,FALSE)</f>
        <v>91.15</v>
      </c>
      <c r="E160" s="12">
        <f>VLOOKUP(A160,'Cleaned Data'!$A:$S,6,FALSE)</f>
        <v>401060</v>
      </c>
    </row>
    <row r="161" spans="1:5" x14ac:dyDescent="0.25">
      <c r="A161" s="7" t="s">
        <v>23</v>
      </c>
      <c r="B161" s="12" t="str">
        <f>VLOOKUP(A161,'Cleaned Data'!A:S,2,FALSE)</f>
        <v>GaAs RF Power Amp</v>
      </c>
      <c r="C161" s="12">
        <f>VLOOKUP(B161,'Cleaned Data'!B:T,3,FALSE)</f>
        <v>2600</v>
      </c>
      <c r="D161" s="12">
        <f>VLOOKUP(A161,'Cleaned Data'!$A:$S,5,FALSE)</f>
        <v>310.19</v>
      </c>
      <c r="E161" s="12">
        <f>VLOOKUP(A161,'Cleaned Data'!$A:$S,6,FALSE)</f>
        <v>806494</v>
      </c>
    </row>
    <row r="162" spans="1:5" x14ac:dyDescent="0.25">
      <c r="A162" s="2" t="s">
        <v>14</v>
      </c>
      <c r="B162" s="12" t="str">
        <f>VLOOKUP(A162,'Cleaned Data'!A:S,2,FALSE)</f>
        <v>CMOS Image Sensor (CIS)</v>
      </c>
      <c r="C162" s="12">
        <f>VLOOKUP(B162,'Cleaned Data'!B:T,3,FALSE)</f>
        <v>2200</v>
      </c>
      <c r="D162" s="12">
        <f>VLOOKUP(A162,'Cleaned Data'!$A:$S,5,FALSE)</f>
        <v>145.72</v>
      </c>
      <c r="E162" s="12">
        <f>VLOOKUP(A162,'Cleaned Data'!$A:$S,6,FALSE)</f>
        <v>320584</v>
      </c>
    </row>
    <row r="163" spans="1:5" x14ac:dyDescent="0.25">
      <c r="A163" s="7" t="s">
        <v>30</v>
      </c>
      <c r="B163" s="12" t="str">
        <f>VLOOKUP(A163,'Cleaned Data'!A:S,2,FALSE)</f>
        <v>OLED Display Driver IC</v>
      </c>
      <c r="C163" s="12">
        <f>VLOOKUP(B163,'Cleaned Data'!B:T,3,FALSE)</f>
        <v>2900</v>
      </c>
      <c r="D163" s="12">
        <f>VLOOKUP(A163,'Cleaned Data'!$A:$S,5,FALSE)</f>
        <v>101.97</v>
      </c>
      <c r="E163" s="12">
        <f>VLOOKUP(A163,'Cleaned Data'!$A:$S,6,FALSE)</f>
        <v>295713</v>
      </c>
    </row>
    <row r="164" spans="1:5" x14ac:dyDescent="0.25">
      <c r="A164" s="2" t="s">
        <v>14</v>
      </c>
      <c r="B164" s="12" t="str">
        <f>VLOOKUP(A164,'Cleaned Data'!A:S,2,FALSE)</f>
        <v>CMOS Image Sensor (CIS)</v>
      </c>
      <c r="C164" s="12">
        <f>VLOOKUP(B164,'Cleaned Data'!B:T,3,FALSE)</f>
        <v>2200</v>
      </c>
      <c r="D164" s="12">
        <f>VLOOKUP(A164,'Cleaned Data'!$A:$S,5,FALSE)</f>
        <v>145.72</v>
      </c>
      <c r="E164" s="12">
        <f>VLOOKUP(A164,'Cleaned Data'!$A:$S,6,FALSE)</f>
        <v>320584</v>
      </c>
    </row>
    <row r="165" spans="1:5" x14ac:dyDescent="0.25">
      <c r="A165" s="7" t="s">
        <v>67</v>
      </c>
      <c r="B165" s="12" t="str">
        <f>VLOOKUP(A165,'Cleaned Data'!A:S,2,FALSE)</f>
        <v>AI Accelerator GPU</v>
      </c>
      <c r="C165" s="12">
        <f>VLOOKUP(B165,'Cleaned Data'!B:T,3,FALSE)</f>
        <v>2100</v>
      </c>
      <c r="D165" s="12">
        <f>VLOOKUP(A165,'Cleaned Data'!$A:$S,5,FALSE)</f>
        <v>428.05</v>
      </c>
      <c r="E165" s="12">
        <f>VLOOKUP(A165,'Cleaned Data'!$A:$S,6,FALSE)</f>
        <v>898905</v>
      </c>
    </row>
    <row r="166" spans="1:5" x14ac:dyDescent="0.25">
      <c r="A166" s="2" t="s">
        <v>53</v>
      </c>
      <c r="B166" s="12" t="str">
        <f>VLOOKUP(A166,'Cleaned Data'!A:S,2,FALSE)</f>
        <v>Silicon Wafer 300mm</v>
      </c>
      <c r="C166" s="12">
        <f>VLOOKUP(B166,'Cleaned Data'!B:T,3,FALSE)</f>
        <v>4650</v>
      </c>
      <c r="D166" s="12">
        <f>VLOOKUP(A166,'Cleaned Data'!$A:$S,5,FALSE)</f>
        <v>83.69</v>
      </c>
      <c r="E166" s="12">
        <f>VLOOKUP(A166,'Cleaned Data'!$A:$S,6,FALSE)</f>
        <v>389158.5</v>
      </c>
    </row>
    <row r="167" spans="1:5" x14ac:dyDescent="0.25">
      <c r="A167" s="7" t="s">
        <v>14</v>
      </c>
      <c r="B167" s="12" t="str">
        <f>VLOOKUP(A167,'Cleaned Data'!A:S,2,FALSE)</f>
        <v>CMOS Image Sensor (CIS)</v>
      </c>
      <c r="C167" s="12">
        <f>VLOOKUP(B167,'Cleaned Data'!B:T,3,FALSE)</f>
        <v>2200</v>
      </c>
      <c r="D167" s="12">
        <f>VLOOKUP(A167,'Cleaned Data'!$A:$S,5,FALSE)</f>
        <v>145.72</v>
      </c>
      <c r="E167" s="12">
        <f>VLOOKUP(A167,'Cleaned Data'!$A:$S,6,FALSE)</f>
        <v>320584</v>
      </c>
    </row>
    <row r="168" spans="1:5" x14ac:dyDescent="0.25">
      <c r="A168" s="2" t="s">
        <v>67</v>
      </c>
      <c r="B168" s="12" t="str">
        <f>VLOOKUP(A168,'Cleaned Data'!A:S,2,FALSE)</f>
        <v>AI Accelerator GPU</v>
      </c>
      <c r="C168" s="12">
        <f>VLOOKUP(B168,'Cleaned Data'!B:T,3,FALSE)</f>
        <v>2100</v>
      </c>
      <c r="D168" s="12">
        <f>VLOOKUP(A168,'Cleaned Data'!$A:$S,5,FALSE)</f>
        <v>428.05</v>
      </c>
      <c r="E168" s="12">
        <f>VLOOKUP(A168,'Cleaned Data'!$A:$S,6,FALSE)</f>
        <v>898905</v>
      </c>
    </row>
    <row r="169" spans="1:5" x14ac:dyDescent="0.25">
      <c r="A169" s="7" t="s">
        <v>53</v>
      </c>
      <c r="B169" s="12" t="str">
        <f>VLOOKUP(A169,'Cleaned Data'!A:S,2,FALSE)</f>
        <v>Silicon Wafer 300mm</v>
      </c>
      <c r="C169" s="12">
        <f>VLOOKUP(B169,'Cleaned Data'!B:T,3,FALSE)</f>
        <v>4650</v>
      </c>
      <c r="D169" s="12">
        <f>VLOOKUP(A169,'Cleaned Data'!$A:$S,5,FALSE)</f>
        <v>83.69</v>
      </c>
      <c r="E169" s="12">
        <f>VLOOKUP(A169,'Cleaned Data'!$A:$S,6,FALSE)</f>
        <v>389158.5</v>
      </c>
    </row>
    <row r="170" spans="1:5" x14ac:dyDescent="0.25">
      <c r="A170" s="2" t="s">
        <v>14</v>
      </c>
      <c r="B170" s="12" t="str">
        <f>VLOOKUP(A170,'Cleaned Data'!A:S,2,FALSE)</f>
        <v>CMOS Image Sensor (CIS)</v>
      </c>
      <c r="C170" s="12">
        <f>VLOOKUP(B170,'Cleaned Data'!B:T,3,FALSE)</f>
        <v>2200</v>
      </c>
      <c r="D170" s="12">
        <f>VLOOKUP(A170,'Cleaned Data'!$A:$S,5,FALSE)</f>
        <v>145.72</v>
      </c>
      <c r="E170" s="12">
        <f>VLOOKUP(A170,'Cleaned Data'!$A:$S,6,FALSE)</f>
        <v>320584</v>
      </c>
    </row>
    <row r="171" spans="1:5" x14ac:dyDescent="0.25">
      <c r="A171" s="7" t="s">
        <v>14</v>
      </c>
      <c r="B171" s="12" t="str">
        <f>VLOOKUP(A171,'Cleaned Data'!A:S,2,FALSE)</f>
        <v>CMOS Image Sensor (CIS)</v>
      </c>
      <c r="C171" s="12">
        <f>VLOOKUP(B171,'Cleaned Data'!B:T,3,FALSE)</f>
        <v>2200</v>
      </c>
      <c r="D171" s="12">
        <f>VLOOKUP(A171,'Cleaned Data'!$A:$S,5,FALSE)</f>
        <v>145.72</v>
      </c>
      <c r="E171" s="12">
        <f>VLOOKUP(A171,'Cleaned Data'!$A:$S,6,FALSE)</f>
        <v>320584</v>
      </c>
    </row>
    <row r="172" spans="1:5" x14ac:dyDescent="0.25">
      <c r="A172" s="2" t="s">
        <v>59</v>
      </c>
      <c r="B172" s="12" t="str">
        <f>VLOOKUP(A172,'Cleaned Data'!A:S,2,FALSE)</f>
        <v>GaN Fast Charger IC</v>
      </c>
      <c r="C172" s="12">
        <f>VLOOKUP(B172,'Cleaned Data'!B:T,3,FALSE)</f>
        <v>3850</v>
      </c>
      <c r="D172" s="12">
        <f>VLOOKUP(A172,'Cleaned Data'!$A:$S,5,FALSE)</f>
        <v>303.77999999999997</v>
      </c>
      <c r="E172" s="12">
        <f>VLOOKUP(A172,'Cleaned Data'!$A:$S,6,FALSE)</f>
        <v>1169553</v>
      </c>
    </row>
    <row r="173" spans="1:5" x14ac:dyDescent="0.25">
      <c r="A173" s="7" t="s">
        <v>45</v>
      </c>
      <c r="B173" s="12" t="str">
        <f>VLOOKUP(A173,'Cleaned Data'!A:S,2,FALSE)</f>
        <v>IGBT Power Module</v>
      </c>
      <c r="C173" s="12">
        <f>VLOOKUP(B173,'Cleaned Data'!B:T,3,FALSE)</f>
        <v>3300</v>
      </c>
      <c r="D173" s="12">
        <f>VLOOKUP(A173,'Cleaned Data'!$A:$S,5,FALSE)</f>
        <v>135.15</v>
      </c>
      <c r="E173" s="12">
        <f>VLOOKUP(A173,'Cleaned Data'!$A:$S,6,FALSE)</f>
        <v>445995</v>
      </c>
    </row>
    <row r="174" spans="1:5" x14ac:dyDescent="0.25">
      <c r="A174" s="2" t="s">
        <v>53</v>
      </c>
      <c r="B174" s="12" t="str">
        <f>VLOOKUP(A174,'Cleaned Data'!A:S,2,FALSE)</f>
        <v>Silicon Wafer 300mm</v>
      </c>
      <c r="C174" s="12">
        <f>VLOOKUP(B174,'Cleaned Data'!B:T,3,FALSE)</f>
        <v>4650</v>
      </c>
      <c r="D174" s="12">
        <f>VLOOKUP(A174,'Cleaned Data'!$A:$S,5,FALSE)</f>
        <v>83.69</v>
      </c>
      <c r="E174" s="12">
        <f>VLOOKUP(A174,'Cleaned Data'!$A:$S,6,FALSE)</f>
        <v>389158.5</v>
      </c>
    </row>
    <row r="175" spans="1:5" x14ac:dyDescent="0.25">
      <c r="A175" s="7" t="s">
        <v>89</v>
      </c>
      <c r="B175" s="12" t="str">
        <f>VLOOKUP(A175,'Cleaned Data'!A:S,2,FALSE)</f>
        <v>NAND Flash 3D 128-Layer</v>
      </c>
      <c r="C175" s="12">
        <f>VLOOKUP(B175,'Cleaned Data'!B:T,3,FALSE)</f>
        <v>4750</v>
      </c>
      <c r="D175" s="12">
        <f>VLOOKUP(A175,'Cleaned Data'!$A:$S,5,FALSE)</f>
        <v>113.1</v>
      </c>
      <c r="E175" s="12">
        <f>VLOOKUP(A175,'Cleaned Data'!$A:$S,6,FALSE)</f>
        <v>537225</v>
      </c>
    </row>
    <row r="176" spans="1:5" x14ac:dyDescent="0.25">
      <c r="A176" s="2" t="s">
        <v>53</v>
      </c>
      <c r="B176" s="12" t="str">
        <f>VLOOKUP(A176,'Cleaned Data'!A:S,2,FALSE)</f>
        <v>Silicon Wafer 300mm</v>
      </c>
      <c r="C176" s="12">
        <f>VLOOKUP(B176,'Cleaned Data'!B:T,3,FALSE)</f>
        <v>4650</v>
      </c>
      <c r="D176" s="12">
        <f>VLOOKUP(A176,'Cleaned Data'!$A:$S,5,FALSE)</f>
        <v>83.69</v>
      </c>
      <c r="E176" s="12">
        <f>VLOOKUP(A176,'Cleaned Data'!$A:$S,6,FALSE)</f>
        <v>389158.5</v>
      </c>
    </row>
    <row r="177" spans="1:5" x14ac:dyDescent="0.25">
      <c r="A177" s="7" t="s">
        <v>67</v>
      </c>
      <c r="B177" s="12" t="str">
        <f>VLOOKUP(A177,'Cleaned Data'!A:S,2,FALSE)</f>
        <v>AI Accelerator GPU</v>
      </c>
      <c r="C177" s="12">
        <f>VLOOKUP(B177,'Cleaned Data'!B:T,3,FALSE)</f>
        <v>2100</v>
      </c>
      <c r="D177" s="12">
        <f>VLOOKUP(A177,'Cleaned Data'!$A:$S,5,FALSE)</f>
        <v>428.05</v>
      </c>
      <c r="E177" s="12">
        <f>VLOOKUP(A177,'Cleaned Data'!$A:$S,6,FALSE)</f>
        <v>898905</v>
      </c>
    </row>
    <row r="178" spans="1:5" x14ac:dyDescent="0.25">
      <c r="A178" s="2" t="s">
        <v>53</v>
      </c>
      <c r="B178" s="12" t="str">
        <f>VLOOKUP(A178,'Cleaned Data'!A:S,2,FALSE)</f>
        <v>Silicon Wafer 300mm</v>
      </c>
      <c r="C178" s="12">
        <f>VLOOKUP(B178,'Cleaned Data'!B:T,3,FALSE)</f>
        <v>4650</v>
      </c>
      <c r="D178" s="12">
        <f>VLOOKUP(A178,'Cleaned Data'!$A:$S,5,FALSE)</f>
        <v>83.69</v>
      </c>
      <c r="E178" s="12">
        <f>VLOOKUP(A178,'Cleaned Data'!$A:$S,6,FALSE)</f>
        <v>389158.5</v>
      </c>
    </row>
    <row r="179" spans="1:5" x14ac:dyDescent="0.25">
      <c r="A179" s="7" t="s">
        <v>45</v>
      </c>
      <c r="B179" s="12" t="str">
        <f>VLOOKUP(A179,'Cleaned Data'!A:S,2,FALSE)</f>
        <v>IGBT Power Module</v>
      </c>
      <c r="C179" s="12">
        <f>VLOOKUP(B179,'Cleaned Data'!B:T,3,FALSE)</f>
        <v>3300</v>
      </c>
      <c r="D179" s="12">
        <f>VLOOKUP(A179,'Cleaned Data'!$A:$S,5,FALSE)</f>
        <v>135.15</v>
      </c>
      <c r="E179" s="12">
        <f>VLOOKUP(A179,'Cleaned Data'!$A:$S,6,FALSE)</f>
        <v>445995</v>
      </c>
    </row>
    <row r="180" spans="1:5" x14ac:dyDescent="0.25">
      <c r="A180" s="2" t="s">
        <v>89</v>
      </c>
      <c r="B180" s="12" t="str">
        <f>VLOOKUP(A180,'Cleaned Data'!A:S,2,FALSE)</f>
        <v>NAND Flash 3D 128-Layer</v>
      </c>
      <c r="C180" s="12">
        <f>VLOOKUP(B180,'Cleaned Data'!B:T,3,FALSE)</f>
        <v>4750</v>
      </c>
      <c r="D180" s="12">
        <f>VLOOKUP(A180,'Cleaned Data'!$A:$S,5,FALSE)</f>
        <v>113.1</v>
      </c>
      <c r="E180" s="12">
        <f>VLOOKUP(A180,'Cleaned Data'!$A:$S,6,FALSE)</f>
        <v>537225</v>
      </c>
    </row>
    <row r="181" spans="1:5" x14ac:dyDescent="0.25">
      <c r="A181" s="7" t="s">
        <v>59</v>
      </c>
      <c r="B181" s="12" t="str">
        <f>VLOOKUP(A181,'Cleaned Data'!A:S,2,FALSE)</f>
        <v>GaN Fast Charger IC</v>
      </c>
      <c r="C181" s="12">
        <f>VLOOKUP(B181,'Cleaned Data'!B:T,3,FALSE)</f>
        <v>3850</v>
      </c>
      <c r="D181" s="12">
        <f>VLOOKUP(A181,'Cleaned Data'!$A:$S,5,FALSE)</f>
        <v>303.77999999999997</v>
      </c>
      <c r="E181" s="12">
        <f>VLOOKUP(A181,'Cleaned Data'!$A:$S,6,FALSE)</f>
        <v>1169553</v>
      </c>
    </row>
    <row r="182" spans="1:5" x14ac:dyDescent="0.25">
      <c r="A182" s="2" t="s">
        <v>14</v>
      </c>
      <c r="B182" s="12" t="str">
        <f>VLOOKUP(A182,'Cleaned Data'!A:S,2,FALSE)</f>
        <v>CMOS Image Sensor (CIS)</v>
      </c>
      <c r="C182" s="12">
        <f>VLOOKUP(B182,'Cleaned Data'!B:T,3,FALSE)</f>
        <v>2200</v>
      </c>
      <c r="D182" s="12">
        <f>VLOOKUP(A182,'Cleaned Data'!$A:$S,5,FALSE)</f>
        <v>145.72</v>
      </c>
      <c r="E182" s="12">
        <f>VLOOKUP(A182,'Cleaned Data'!$A:$S,6,FALSE)</f>
        <v>320584</v>
      </c>
    </row>
    <row r="183" spans="1:5" x14ac:dyDescent="0.25">
      <c r="A183" s="7" t="s">
        <v>45</v>
      </c>
      <c r="B183" s="12" t="str">
        <f>VLOOKUP(A183,'Cleaned Data'!A:S,2,FALSE)</f>
        <v>IGBT Power Module</v>
      </c>
      <c r="C183" s="12">
        <f>VLOOKUP(B183,'Cleaned Data'!B:T,3,FALSE)</f>
        <v>3300</v>
      </c>
      <c r="D183" s="12">
        <f>VLOOKUP(A183,'Cleaned Data'!$A:$S,5,FALSE)</f>
        <v>135.15</v>
      </c>
      <c r="E183" s="12">
        <f>VLOOKUP(A183,'Cleaned Data'!$A:$S,6,FALSE)</f>
        <v>445995</v>
      </c>
    </row>
    <row r="184" spans="1:5" x14ac:dyDescent="0.25">
      <c r="A184" s="2" t="s">
        <v>45</v>
      </c>
      <c r="B184" s="12" t="str">
        <f>VLOOKUP(A184,'Cleaned Data'!A:S,2,FALSE)</f>
        <v>IGBT Power Module</v>
      </c>
      <c r="C184" s="12">
        <f>VLOOKUP(B184,'Cleaned Data'!B:T,3,FALSE)</f>
        <v>3300</v>
      </c>
      <c r="D184" s="12">
        <f>VLOOKUP(A184,'Cleaned Data'!$A:$S,5,FALSE)</f>
        <v>135.15</v>
      </c>
      <c r="E184" s="12">
        <f>VLOOKUP(A184,'Cleaned Data'!$A:$S,6,FALSE)</f>
        <v>445995</v>
      </c>
    </row>
    <row r="185" spans="1:5" x14ac:dyDescent="0.25">
      <c r="A185" s="7" t="s">
        <v>30</v>
      </c>
      <c r="B185" s="12" t="str">
        <f>VLOOKUP(A185,'Cleaned Data'!A:S,2,FALSE)</f>
        <v>OLED Display Driver IC</v>
      </c>
      <c r="C185" s="12">
        <f>VLOOKUP(B185,'Cleaned Data'!B:T,3,FALSE)</f>
        <v>2900</v>
      </c>
      <c r="D185" s="12">
        <f>VLOOKUP(A185,'Cleaned Data'!$A:$S,5,FALSE)</f>
        <v>101.97</v>
      </c>
      <c r="E185" s="12">
        <f>VLOOKUP(A185,'Cleaned Data'!$A:$S,6,FALSE)</f>
        <v>295713</v>
      </c>
    </row>
    <row r="186" spans="1:5" x14ac:dyDescent="0.25">
      <c r="A186" s="2" t="s">
        <v>53</v>
      </c>
      <c r="B186" s="12" t="str">
        <f>VLOOKUP(A186,'Cleaned Data'!A:S,2,FALSE)</f>
        <v>Silicon Wafer 300mm</v>
      </c>
      <c r="C186" s="12">
        <f>VLOOKUP(B186,'Cleaned Data'!B:T,3,FALSE)</f>
        <v>4650</v>
      </c>
      <c r="D186" s="12">
        <f>VLOOKUP(A186,'Cleaned Data'!$A:$S,5,FALSE)</f>
        <v>83.69</v>
      </c>
      <c r="E186" s="12">
        <f>VLOOKUP(A186,'Cleaned Data'!$A:$S,6,FALSE)</f>
        <v>389158.5</v>
      </c>
    </row>
    <row r="187" spans="1:5" x14ac:dyDescent="0.25">
      <c r="A187" s="7" t="s">
        <v>37</v>
      </c>
      <c r="B187" s="12" t="str">
        <f>VLOOKUP(A187,'Cleaned Data'!A:S,2,FALSE)</f>
        <v>Automotive MCU (16-bit)</v>
      </c>
      <c r="C187" s="12">
        <f>VLOOKUP(B187,'Cleaned Data'!B:T,3,FALSE)</f>
        <v>4400</v>
      </c>
      <c r="D187" s="12">
        <f>VLOOKUP(A187,'Cleaned Data'!$A:$S,5,FALSE)</f>
        <v>91.15</v>
      </c>
      <c r="E187" s="12">
        <f>VLOOKUP(A187,'Cleaned Data'!$A:$S,6,FALSE)</f>
        <v>401060</v>
      </c>
    </row>
    <row r="188" spans="1:5" x14ac:dyDescent="0.25">
      <c r="A188" s="2" t="s">
        <v>59</v>
      </c>
      <c r="B188" s="12" t="str">
        <f>VLOOKUP(A188,'Cleaned Data'!A:S,2,FALSE)</f>
        <v>GaN Fast Charger IC</v>
      </c>
      <c r="C188" s="12">
        <f>VLOOKUP(B188,'Cleaned Data'!B:T,3,FALSE)</f>
        <v>3850</v>
      </c>
      <c r="D188" s="12">
        <f>VLOOKUP(A188,'Cleaned Data'!$A:$S,5,FALSE)</f>
        <v>303.77999999999997</v>
      </c>
      <c r="E188" s="12">
        <f>VLOOKUP(A188,'Cleaned Data'!$A:$S,6,FALSE)</f>
        <v>1169553</v>
      </c>
    </row>
    <row r="189" spans="1:5" x14ac:dyDescent="0.25">
      <c r="A189" s="7" t="s">
        <v>106</v>
      </c>
      <c r="B189" s="12" t="str">
        <f>VLOOKUP(A189,'Cleaned Data'!A:S,2,FALSE)</f>
        <v>MEMS Pressure Sensor</v>
      </c>
      <c r="C189" s="12">
        <f>VLOOKUP(B189,'Cleaned Data'!B:T,3,FALSE)</f>
        <v>4050</v>
      </c>
      <c r="D189" s="12">
        <f>VLOOKUP(A189,'Cleaned Data'!$A:$S,5,FALSE)</f>
        <v>217.44</v>
      </c>
      <c r="E189" s="12">
        <f>VLOOKUP(A189,'Cleaned Data'!$A:$S,6,FALSE)</f>
        <v>880632</v>
      </c>
    </row>
    <row r="190" spans="1:5" x14ac:dyDescent="0.25">
      <c r="A190" s="2" t="s">
        <v>14</v>
      </c>
      <c r="B190" s="12" t="str">
        <f>VLOOKUP(A190,'Cleaned Data'!A:S,2,FALSE)</f>
        <v>CMOS Image Sensor (CIS)</v>
      </c>
      <c r="C190" s="12">
        <f>VLOOKUP(B190,'Cleaned Data'!B:T,3,FALSE)</f>
        <v>2200</v>
      </c>
      <c r="D190" s="12">
        <f>VLOOKUP(A190,'Cleaned Data'!$A:$S,5,FALSE)</f>
        <v>145.72</v>
      </c>
      <c r="E190" s="12">
        <f>VLOOKUP(A190,'Cleaned Data'!$A:$S,6,FALSE)</f>
        <v>320584</v>
      </c>
    </row>
    <row r="191" spans="1:5" x14ac:dyDescent="0.25">
      <c r="A191" s="7" t="s">
        <v>37</v>
      </c>
      <c r="B191" s="12" t="str">
        <f>VLOOKUP(A191,'Cleaned Data'!A:S,2,FALSE)</f>
        <v>Automotive MCU (16-bit)</v>
      </c>
      <c r="C191" s="12">
        <f>VLOOKUP(B191,'Cleaned Data'!B:T,3,FALSE)</f>
        <v>4400</v>
      </c>
      <c r="D191" s="12">
        <f>VLOOKUP(A191,'Cleaned Data'!$A:$S,5,FALSE)</f>
        <v>91.15</v>
      </c>
      <c r="E191" s="12">
        <f>VLOOKUP(A191,'Cleaned Data'!$A:$S,6,FALSE)</f>
        <v>401060</v>
      </c>
    </row>
    <row r="192" spans="1:5" x14ac:dyDescent="0.25">
      <c r="A192" s="2" t="s">
        <v>67</v>
      </c>
      <c r="B192" s="12" t="str">
        <f>VLOOKUP(A192,'Cleaned Data'!A:S,2,FALSE)</f>
        <v>AI Accelerator GPU</v>
      </c>
      <c r="C192" s="12">
        <f>VLOOKUP(B192,'Cleaned Data'!B:T,3,FALSE)</f>
        <v>2100</v>
      </c>
      <c r="D192" s="12">
        <f>VLOOKUP(A192,'Cleaned Data'!$A:$S,5,FALSE)</f>
        <v>428.05</v>
      </c>
      <c r="E192" s="12">
        <f>VLOOKUP(A192,'Cleaned Data'!$A:$S,6,FALSE)</f>
        <v>898905</v>
      </c>
    </row>
    <row r="193" spans="1:5" x14ac:dyDescent="0.25">
      <c r="A193" s="7" t="s">
        <v>89</v>
      </c>
      <c r="B193" s="12" t="str">
        <f>VLOOKUP(A193,'Cleaned Data'!A:S,2,FALSE)</f>
        <v>NAND Flash 3D 128-Layer</v>
      </c>
      <c r="C193" s="12">
        <f>VLOOKUP(B193,'Cleaned Data'!B:T,3,FALSE)</f>
        <v>4750</v>
      </c>
      <c r="D193" s="12">
        <f>VLOOKUP(A193,'Cleaned Data'!$A:$S,5,FALSE)</f>
        <v>113.1</v>
      </c>
      <c r="E193" s="12">
        <f>VLOOKUP(A193,'Cleaned Data'!$A:$S,6,FALSE)</f>
        <v>537225</v>
      </c>
    </row>
    <row r="194" spans="1:5" x14ac:dyDescent="0.25">
      <c r="A194" s="2" t="s">
        <v>45</v>
      </c>
      <c r="B194" s="12" t="str">
        <f>VLOOKUP(A194,'Cleaned Data'!A:S,2,FALSE)</f>
        <v>IGBT Power Module</v>
      </c>
      <c r="C194" s="12">
        <f>VLOOKUP(B194,'Cleaned Data'!B:T,3,FALSE)</f>
        <v>3300</v>
      </c>
      <c r="D194" s="12">
        <f>VLOOKUP(A194,'Cleaned Data'!$A:$S,5,FALSE)</f>
        <v>135.15</v>
      </c>
      <c r="E194" s="12">
        <f>VLOOKUP(A194,'Cleaned Data'!$A:$S,6,FALSE)</f>
        <v>445995</v>
      </c>
    </row>
    <row r="195" spans="1:5" x14ac:dyDescent="0.25">
      <c r="A195" s="7" t="s">
        <v>53</v>
      </c>
      <c r="B195" s="12" t="str">
        <f>VLOOKUP(A195,'Cleaned Data'!A:S,2,FALSE)</f>
        <v>Silicon Wafer 300mm</v>
      </c>
      <c r="C195" s="12">
        <f>VLOOKUP(B195,'Cleaned Data'!B:T,3,FALSE)</f>
        <v>4650</v>
      </c>
      <c r="D195" s="12">
        <f>VLOOKUP(A195,'Cleaned Data'!$A:$S,5,FALSE)</f>
        <v>83.69</v>
      </c>
      <c r="E195" s="12">
        <f>VLOOKUP(A195,'Cleaned Data'!$A:$S,6,FALSE)</f>
        <v>389158.5</v>
      </c>
    </row>
    <row r="196" spans="1:5" x14ac:dyDescent="0.25">
      <c r="A196" s="2" t="s">
        <v>89</v>
      </c>
      <c r="B196" s="12" t="str">
        <f>VLOOKUP(A196,'Cleaned Data'!A:S,2,FALSE)</f>
        <v>NAND Flash 3D 128-Layer</v>
      </c>
      <c r="C196" s="12">
        <f>VLOOKUP(B196,'Cleaned Data'!B:T,3,FALSE)</f>
        <v>4750</v>
      </c>
      <c r="D196" s="12">
        <f>VLOOKUP(A196,'Cleaned Data'!$A:$S,5,FALSE)</f>
        <v>113.1</v>
      </c>
      <c r="E196" s="12">
        <f>VLOOKUP(A196,'Cleaned Data'!$A:$S,6,FALSE)</f>
        <v>537225</v>
      </c>
    </row>
    <row r="197" spans="1:5" x14ac:dyDescent="0.25">
      <c r="A197" s="7" t="s">
        <v>53</v>
      </c>
      <c r="B197" s="12" t="str">
        <f>VLOOKUP(A197,'Cleaned Data'!A:S,2,FALSE)</f>
        <v>Silicon Wafer 300mm</v>
      </c>
      <c r="C197" s="12">
        <f>VLOOKUP(B197,'Cleaned Data'!B:T,3,FALSE)</f>
        <v>4650</v>
      </c>
      <c r="D197" s="12">
        <f>VLOOKUP(A197,'Cleaned Data'!$A:$S,5,FALSE)</f>
        <v>83.69</v>
      </c>
      <c r="E197" s="12">
        <f>VLOOKUP(A197,'Cleaned Data'!$A:$S,6,FALSE)</f>
        <v>389158.5</v>
      </c>
    </row>
    <row r="198" spans="1:5" x14ac:dyDescent="0.25">
      <c r="A198" s="2" t="s">
        <v>45</v>
      </c>
      <c r="B198" s="12" t="str">
        <f>VLOOKUP(A198,'Cleaned Data'!A:S,2,FALSE)</f>
        <v>IGBT Power Module</v>
      </c>
      <c r="C198" s="12">
        <f>VLOOKUP(B198,'Cleaned Data'!B:T,3,FALSE)</f>
        <v>3300</v>
      </c>
      <c r="D198" s="12">
        <f>VLOOKUP(A198,'Cleaned Data'!$A:$S,5,FALSE)</f>
        <v>135.15</v>
      </c>
      <c r="E198" s="12">
        <f>VLOOKUP(A198,'Cleaned Data'!$A:$S,6,FALSE)</f>
        <v>445995</v>
      </c>
    </row>
    <row r="199" spans="1:5" x14ac:dyDescent="0.25">
      <c r="A199" s="7" t="s">
        <v>67</v>
      </c>
      <c r="B199" s="12" t="str">
        <f>VLOOKUP(A199,'Cleaned Data'!A:S,2,FALSE)</f>
        <v>AI Accelerator GPU</v>
      </c>
      <c r="C199" s="12">
        <f>VLOOKUP(B199,'Cleaned Data'!B:T,3,FALSE)</f>
        <v>2100</v>
      </c>
      <c r="D199" s="12">
        <f>VLOOKUP(A199,'Cleaned Data'!$A:$S,5,FALSE)</f>
        <v>428.05</v>
      </c>
      <c r="E199" s="12">
        <f>VLOOKUP(A199,'Cleaned Data'!$A:$S,6,FALSE)</f>
        <v>898905</v>
      </c>
    </row>
    <row r="200" spans="1:5" x14ac:dyDescent="0.25">
      <c r="A200" s="2" t="s">
        <v>53</v>
      </c>
      <c r="B200" s="12" t="str">
        <f>VLOOKUP(A200,'Cleaned Data'!A:S,2,FALSE)</f>
        <v>Silicon Wafer 300mm</v>
      </c>
      <c r="C200" s="12">
        <f>VLOOKUP(B200,'Cleaned Data'!B:T,3,FALSE)</f>
        <v>4650</v>
      </c>
      <c r="D200" s="12">
        <f>VLOOKUP(A200,'Cleaned Data'!$A:$S,5,FALSE)</f>
        <v>83.69</v>
      </c>
      <c r="E200" s="12">
        <f>VLOOKUP(A200,'Cleaned Data'!$A:$S,6,FALSE)</f>
        <v>389158.5</v>
      </c>
    </row>
    <row r="201" spans="1:5" x14ac:dyDescent="0.25">
      <c r="A201" s="7" t="s">
        <v>89</v>
      </c>
      <c r="B201" s="12" t="str">
        <f>VLOOKUP(A201,'Cleaned Data'!A:S,2,FALSE)</f>
        <v>NAND Flash 3D 128-Layer</v>
      </c>
      <c r="C201" s="12">
        <f>VLOOKUP(B201,'Cleaned Data'!B:T,3,FALSE)</f>
        <v>4750</v>
      </c>
      <c r="D201" s="12">
        <f>VLOOKUP(A201,'Cleaned Data'!$A:$S,5,FALSE)</f>
        <v>113.1</v>
      </c>
      <c r="E201" s="12">
        <f>VLOOKUP(A201,'Cleaned Data'!$A:$S,6,FALSE)</f>
        <v>537225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081F-DC2A-4923-AC85-8E0569B68A0E}">
  <sheetPr codeName="Sheet6"/>
  <dimension ref="A1:H201"/>
  <sheetViews>
    <sheetView workbookViewId="0">
      <selection activeCell="B8" sqref="B8"/>
    </sheetView>
  </sheetViews>
  <sheetFormatPr defaultRowHeight="15" x14ac:dyDescent="0.25"/>
  <cols>
    <col min="2" max="2" width="23.42578125" bestFit="1" customWidth="1"/>
    <col min="3" max="3" width="12.7109375" bestFit="1" customWidth="1"/>
    <col min="4" max="4" width="14.85546875" bestFit="1" customWidth="1"/>
    <col min="5" max="5" width="13.85546875" bestFit="1" customWidth="1"/>
    <col min="6" max="6" width="9.7109375" bestFit="1" customWidth="1"/>
    <col min="7" max="7" width="10.42578125" bestFit="1" customWidth="1"/>
    <col min="8" max="8" width="22.5703125" bestFit="1" customWidth="1"/>
    <col min="17" max="17" width="8.7109375" bestFit="1" customWidth="1"/>
  </cols>
  <sheetData>
    <row r="1" spans="1:8" ht="33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374</v>
      </c>
      <c r="G1" s="1" t="s">
        <v>12</v>
      </c>
      <c r="H1" s="1" t="s">
        <v>396</v>
      </c>
    </row>
    <row r="2" spans="1:8" x14ac:dyDescent="0.25">
      <c r="A2" s="2" t="s">
        <v>14</v>
      </c>
      <c r="B2" s="12" t="str">
        <f>VLOOKUP(A2,'Cleaned Data'!$A:$S,2,FALSE)</f>
        <v>CMOS Image Sensor (CIS)</v>
      </c>
      <c r="C2" s="12" t="str">
        <f>VLOOKUP(A2,'Cleaned Data'!$A:$S,13,FALSE)</f>
        <v>TRK-73630</v>
      </c>
      <c r="D2" s="12" t="str">
        <f>VLOOKUP(A2,'Cleaned Data'!$A:$S,14,FALSE)</f>
        <v>SF Express</v>
      </c>
      <c r="E2" s="12" t="str">
        <f>VLOOKUP(A2,'Cleaned Data'!$A:$S,15,FALSE)</f>
        <v>Asia-Pacific</v>
      </c>
      <c r="F2" s="2" t="s">
        <v>375</v>
      </c>
      <c r="G2" s="12" t="str">
        <f>VLOOKUP(A2,'Cleaned Data'!$A:$S,18,FALSE)</f>
        <v>2026-02-13</v>
      </c>
      <c r="H2" s="12" t="str">
        <f>VLOOKUP(A2,'Cleaned Data'!$A:$S,19,FALSE)</f>
        <v>Pending</v>
      </c>
    </row>
    <row r="3" spans="1:8" x14ac:dyDescent="0.25">
      <c r="A3" s="7" t="s">
        <v>23</v>
      </c>
      <c r="B3" s="12" t="str">
        <f>VLOOKUP(A3,'Cleaned Data'!$A:$S,2,FALSE)</f>
        <v>GaAs RF Power Amp</v>
      </c>
      <c r="C3" s="12" t="str">
        <f>VLOOKUP(A3,'Cleaned Data'!$A:$S,13,FALSE)</f>
        <v>TRK-62939</v>
      </c>
      <c r="D3" s="12" t="str">
        <f>VLOOKUP(A3,'Cleaned Data'!$A:$S,14,FALSE)</f>
        <v>DB Schenker</v>
      </c>
      <c r="E3" s="12" t="str">
        <f>VLOOKUP(A3,'Cleaned Data'!$A:$S,15,FALSE)</f>
        <v>Asia-Pacific</v>
      </c>
      <c r="F3" s="2" t="s">
        <v>375</v>
      </c>
      <c r="G3" s="12" t="str">
        <f>VLOOKUP(A3,'Cleaned Data'!$A:$S,18,FALSE)</f>
        <v>2026-01-10</v>
      </c>
      <c r="H3" s="12" t="str">
        <f>VLOOKUP(A3,'Cleaned Data'!$A:$S,19,FALSE)</f>
        <v>Pending</v>
      </c>
    </row>
    <row r="4" spans="1:8" x14ac:dyDescent="0.25">
      <c r="A4" s="2" t="s">
        <v>30</v>
      </c>
      <c r="B4" s="12" t="str">
        <f>VLOOKUP(A4,'Cleaned Data'!$A:$S,2,FALSE)</f>
        <v>OLED Display Driver IC</v>
      </c>
      <c r="C4" s="12" t="str">
        <f>VLOOKUP(A4,'Cleaned Data'!$A:$S,13,FALSE)</f>
        <v>TRK-97678</v>
      </c>
      <c r="D4" s="12" t="str">
        <f>VLOOKUP(A4,'Cleaned Data'!$A:$S,14,FALSE)</f>
        <v>DB Schenker</v>
      </c>
      <c r="E4" s="12" t="str">
        <f>VLOOKUP(A4,'Cleaned Data'!$A:$S,15,FALSE)</f>
        <v>North America</v>
      </c>
      <c r="F4" s="2" t="s">
        <v>376</v>
      </c>
      <c r="G4" s="12" t="str">
        <f>VLOOKUP(A4,'Cleaned Data'!$A:$S,18,FALSE)</f>
        <v>2026-04-23</v>
      </c>
      <c r="H4" s="12" t="str">
        <f>VLOOKUP(A4,'Cleaned Data'!$A:$S,19,FALSE)</f>
        <v>Pending</v>
      </c>
    </row>
    <row r="5" spans="1:8" x14ac:dyDescent="0.25">
      <c r="A5" s="7" t="s">
        <v>37</v>
      </c>
      <c r="B5" s="12" t="str">
        <f>VLOOKUP(A5,'Cleaned Data'!$A:$S,2,FALSE)</f>
        <v>Automotive MCU (16-bit)</v>
      </c>
      <c r="C5" s="12" t="str">
        <f>VLOOKUP(A5,'Cleaned Data'!$A:$S,13,FALSE)</f>
        <v>TRK-66595</v>
      </c>
      <c r="D5" s="12" t="str">
        <f>VLOOKUP(A5,'Cleaned Data'!$A:$S,14,FALSE)</f>
        <v>FedEx Cargo</v>
      </c>
      <c r="E5" s="12" t="str">
        <f>VLOOKUP(A5,'Cleaned Data'!$A:$S,15,FALSE)</f>
        <v>Europe</v>
      </c>
      <c r="F5" s="2" t="s">
        <v>376</v>
      </c>
      <c r="G5" s="12" t="str">
        <f>VLOOKUP(A5,'Cleaned Data'!$A:$S,18,FALSE)</f>
        <v>2026-01-10</v>
      </c>
      <c r="H5" s="12" t="str">
        <f>VLOOKUP(A5,'Cleaned Data'!$A:$S,19,FALSE)</f>
        <v>In Transit</v>
      </c>
    </row>
    <row r="6" spans="1:8" x14ac:dyDescent="0.25">
      <c r="A6" s="2" t="s">
        <v>45</v>
      </c>
      <c r="B6" s="12" t="str">
        <f>VLOOKUP(A6,'Cleaned Data'!$A:$S,2,FALSE)</f>
        <v>IGBT Power Module</v>
      </c>
      <c r="C6" s="12" t="str">
        <f>VLOOKUP(A6,'Cleaned Data'!$A:$S,13,FALSE)</f>
        <v>TRK-99582</v>
      </c>
      <c r="D6" s="12" t="str">
        <f>VLOOKUP(A6,'Cleaned Data'!$A:$S,14,FALSE)</f>
        <v>Maersk Line</v>
      </c>
      <c r="E6" s="12" t="str">
        <f>VLOOKUP(A6,'Cleaned Data'!$A:$S,15,FALSE)</f>
        <v>North America</v>
      </c>
      <c r="F6" s="2" t="s">
        <v>376</v>
      </c>
      <c r="G6" s="12" t="str">
        <f>VLOOKUP(A6,'Cleaned Data'!$A:$S,18,FALSE)</f>
        <v>2026-01-12</v>
      </c>
      <c r="H6" s="12" t="str">
        <f>VLOOKUP(A6,'Cleaned Data'!$A:$S,19,FALSE)</f>
        <v>Delivered</v>
      </c>
    </row>
    <row r="7" spans="1:8" x14ac:dyDescent="0.25">
      <c r="A7" s="7" t="s">
        <v>53</v>
      </c>
      <c r="B7" s="12" t="str">
        <f>VLOOKUP(A7,'Cleaned Data'!$A:$S,2,FALSE)</f>
        <v>Silicon Wafer 300mm</v>
      </c>
      <c r="C7" s="12" t="str">
        <f>VLOOKUP(A7,'Cleaned Data'!$A:$S,13,FALSE)</f>
        <v>TRK-28391</v>
      </c>
      <c r="D7" s="12" t="str">
        <f>VLOOKUP(A7,'Cleaned Data'!$A:$S,14,FALSE)</f>
        <v>SF Express</v>
      </c>
      <c r="E7" s="12" t="str">
        <f>VLOOKUP(A7,'Cleaned Data'!$A:$S,15,FALSE)</f>
        <v>Asia-Pacific</v>
      </c>
      <c r="F7" s="2" t="s">
        <v>375</v>
      </c>
      <c r="G7" s="12" t="str">
        <f>VLOOKUP(A7,'Cleaned Data'!$A:$S,18,FALSE)</f>
        <v>2026-04-30</v>
      </c>
      <c r="H7" s="12" t="str">
        <f>VLOOKUP(A7,'Cleaned Data'!$A:$S,19,FALSE)</f>
        <v>In Transit</v>
      </c>
    </row>
    <row r="8" spans="1:8" x14ac:dyDescent="0.25">
      <c r="A8" s="2" t="s">
        <v>59</v>
      </c>
      <c r="B8" s="12" t="str">
        <f>VLOOKUP(A8,'Cleaned Data'!$A:$S,2,FALSE)</f>
        <v>GaN Fast Charger IC</v>
      </c>
      <c r="C8" s="12" t="str">
        <f>VLOOKUP(A8,'Cleaned Data'!$A:$S,13,FALSE)</f>
        <v>TRK-82133</v>
      </c>
      <c r="D8" s="12" t="str">
        <f>VLOOKUP(A8,'Cleaned Data'!$A:$S,14,FALSE)</f>
        <v>SF Express</v>
      </c>
      <c r="E8" s="12" t="str">
        <f>VLOOKUP(A8,'Cleaned Data'!$A:$S,15,FALSE)</f>
        <v>Europe</v>
      </c>
      <c r="F8" s="2" t="s">
        <v>376</v>
      </c>
      <c r="G8" s="12" t="str">
        <f>VLOOKUP(A8,'Cleaned Data'!$A:$S,18,FALSE)</f>
        <v>2026-03-02</v>
      </c>
      <c r="H8" s="12" t="str">
        <f>VLOOKUP(A8,'Cleaned Data'!$A:$S,19,FALSE)</f>
        <v>Delivered</v>
      </c>
    </row>
    <row r="9" spans="1:8" x14ac:dyDescent="0.25">
      <c r="A9" s="7" t="s">
        <v>37</v>
      </c>
      <c r="B9" s="12" t="str">
        <f>VLOOKUP(A9,'Cleaned Data'!$A:$S,2,FALSE)</f>
        <v>Automotive MCU (16-bit)</v>
      </c>
      <c r="C9" s="12" t="str">
        <f>VLOOKUP(A9,'Cleaned Data'!$A:$S,13,FALSE)</f>
        <v>TRK-66595</v>
      </c>
      <c r="D9" s="12" t="str">
        <f>VLOOKUP(A9,'Cleaned Data'!$A:$S,14,FALSE)</f>
        <v>FedEx Cargo</v>
      </c>
      <c r="E9" s="12" t="str">
        <f>VLOOKUP(A9,'Cleaned Data'!$A:$S,15,FALSE)</f>
        <v>Europe</v>
      </c>
      <c r="F9" s="2" t="s">
        <v>376</v>
      </c>
      <c r="G9" s="12" t="str">
        <f>VLOOKUP(A9,'Cleaned Data'!$A:$S,18,FALSE)</f>
        <v>2026-01-10</v>
      </c>
      <c r="H9" s="12" t="str">
        <f>VLOOKUP(A9,'Cleaned Data'!$A:$S,19,FALSE)</f>
        <v>In Transit</v>
      </c>
    </row>
    <row r="10" spans="1:8" x14ac:dyDescent="0.25">
      <c r="A10" s="2" t="s">
        <v>67</v>
      </c>
      <c r="B10" s="12" t="str">
        <f>VLOOKUP(A10,'Cleaned Data'!$A:$S,2,FALSE)</f>
        <v>AI Accelerator GPU</v>
      </c>
      <c r="C10" s="12" t="str">
        <f>VLOOKUP(A10,'Cleaned Data'!$A:$S,13,FALSE)</f>
        <v>TRK-45814</v>
      </c>
      <c r="D10" s="12" t="str">
        <f>VLOOKUP(A10,'Cleaned Data'!$A:$S,14,FALSE)</f>
        <v>DB Schenker</v>
      </c>
      <c r="E10" s="12" t="str">
        <f>VLOOKUP(A10,'Cleaned Data'!$A:$S,15,FALSE)</f>
        <v>Asia-Pacific</v>
      </c>
      <c r="F10" s="2" t="s">
        <v>375</v>
      </c>
      <c r="G10" s="12" t="str">
        <f>VLOOKUP(A10,'Cleaned Data'!$A:$S,18,FALSE)</f>
        <v>2026-03-13</v>
      </c>
      <c r="H10" s="12" t="str">
        <f>VLOOKUP(A10,'Cleaned Data'!$A:$S,19,FALSE)</f>
        <v>Delayed at Customs</v>
      </c>
    </row>
    <row r="11" spans="1:8" x14ac:dyDescent="0.25">
      <c r="A11" s="7" t="s">
        <v>59</v>
      </c>
      <c r="B11" s="12" t="str">
        <f>VLOOKUP(A11,'Cleaned Data'!$A:$S,2,FALSE)</f>
        <v>GaN Fast Charger IC</v>
      </c>
      <c r="C11" s="12" t="str">
        <f>VLOOKUP(A11,'Cleaned Data'!$A:$S,13,FALSE)</f>
        <v>TRK-82133</v>
      </c>
      <c r="D11" s="12" t="str">
        <f>VLOOKUP(A11,'Cleaned Data'!$A:$S,14,FALSE)</f>
        <v>SF Express</v>
      </c>
      <c r="E11" s="12" t="str">
        <f>VLOOKUP(A11,'Cleaned Data'!$A:$S,15,FALSE)</f>
        <v>Europe</v>
      </c>
      <c r="F11" s="2" t="s">
        <v>376</v>
      </c>
      <c r="G11" s="12" t="str">
        <f>VLOOKUP(A11,'Cleaned Data'!$A:$S,18,FALSE)</f>
        <v>2026-03-02</v>
      </c>
      <c r="H11" s="12" t="str">
        <f>VLOOKUP(A11,'Cleaned Data'!$A:$S,19,FALSE)</f>
        <v>Delivered</v>
      </c>
    </row>
    <row r="12" spans="1:8" x14ac:dyDescent="0.25">
      <c r="A12" s="2" t="s">
        <v>23</v>
      </c>
      <c r="B12" s="12" t="str">
        <f>VLOOKUP(A12,'Cleaned Data'!$A:$S,2,FALSE)</f>
        <v>GaAs RF Power Amp</v>
      </c>
      <c r="C12" s="12" t="str">
        <f>VLOOKUP(A12,'Cleaned Data'!$A:$S,13,FALSE)</f>
        <v>TRK-62939</v>
      </c>
      <c r="D12" s="12" t="str">
        <f>VLOOKUP(A12,'Cleaned Data'!$A:$S,14,FALSE)</f>
        <v>DB Schenker</v>
      </c>
      <c r="E12" s="12" t="str">
        <f>VLOOKUP(A12,'Cleaned Data'!$A:$S,15,FALSE)</f>
        <v>Asia-Pacific</v>
      </c>
      <c r="F12" s="2" t="s">
        <v>375</v>
      </c>
      <c r="G12" s="12" t="str">
        <f>VLOOKUP(A12,'Cleaned Data'!$A:$S,18,FALSE)</f>
        <v>2026-01-10</v>
      </c>
      <c r="H12" s="12" t="str">
        <f>VLOOKUP(A12,'Cleaned Data'!$A:$S,19,FALSE)</f>
        <v>Pending</v>
      </c>
    </row>
    <row r="13" spans="1:8" x14ac:dyDescent="0.25">
      <c r="A13" s="7" t="s">
        <v>59</v>
      </c>
      <c r="B13" s="12" t="str">
        <f>VLOOKUP(A13,'Cleaned Data'!$A:$S,2,FALSE)</f>
        <v>GaN Fast Charger IC</v>
      </c>
      <c r="C13" s="12" t="str">
        <f>VLOOKUP(A13,'Cleaned Data'!$A:$S,13,FALSE)</f>
        <v>TRK-82133</v>
      </c>
      <c r="D13" s="12" t="str">
        <f>VLOOKUP(A13,'Cleaned Data'!$A:$S,14,FALSE)</f>
        <v>SF Express</v>
      </c>
      <c r="E13" s="12" t="str">
        <f>VLOOKUP(A13,'Cleaned Data'!$A:$S,15,FALSE)</f>
        <v>Europe</v>
      </c>
      <c r="F13" s="2" t="s">
        <v>376</v>
      </c>
      <c r="G13" s="12" t="str">
        <f>VLOOKUP(A13,'Cleaned Data'!$A:$S,18,FALSE)</f>
        <v>2026-03-02</v>
      </c>
      <c r="H13" s="12" t="str">
        <f>VLOOKUP(A13,'Cleaned Data'!$A:$S,19,FALSE)</f>
        <v>Delivered</v>
      </c>
    </row>
    <row r="14" spans="1:8" x14ac:dyDescent="0.25">
      <c r="A14" s="2" t="s">
        <v>30</v>
      </c>
      <c r="B14" s="12" t="str">
        <f>VLOOKUP(A14,'Cleaned Data'!$A:$S,2,FALSE)</f>
        <v>OLED Display Driver IC</v>
      </c>
      <c r="C14" s="12" t="str">
        <f>VLOOKUP(A14,'Cleaned Data'!$A:$S,13,FALSE)</f>
        <v>TRK-97678</v>
      </c>
      <c r="D14" s="12" t="str">
        <f>VLOOKUP(A14,'Cleaned Data'!$A:$S,14,FALSE)</f>
        <v>DB Schenker</v>
      </c>
      <c r="E14" s="12" t="str">
        <f>VLOOKUP(A14,'Cleaned Data'!$A:$S,15,FALSE)</f>
        <v>North America</v>
      </c>
      <c r="F14" s="2" t="s">
        <v>376</v>
      </c>
      <c r="G14" s="12" t="str">
        <f>VLOOKUP(A14,'Cleaned Data'!$A:$S,18,FALSE)</f>
        <v>2026-04-23</v>
      </c>
      <c r="H14" s="12" t="str">
        <f>VLOOKUP(A14,'Cleaned Data'!$A:$S,19,FALSE)</f>
        <v>Pending</v>
      </c>
    </row>
    <row r="15" spans="1:8" x14ac:dyDescent="0.25">
      <c r="A15" s="7" t="s">
        <v>30</v>
      </c>
      <c r="B15" s="12" t="str">
        <f>VLOOKUP(A15,'Cleaned Data'!$A:$S,2,FALSE)</f>
        <v>OLED Display Driver IC</v>
      </c>
      <c r="C15" s="12" t="str">
        <f>VLOOKUP(A15,'Cleaned Data'!$A:$S,13,FALSE)</f>
        <v>TRK-97678</v>
      </c>
      <c r="D15" s="12" t="str">
        <f>VLOOKUP(A15,'Cleaned Data'!$A:$S,14,FALSE)</f>
        <v>DB Schenker</v>
      </c>
      <c r="E15" s="12" t="str">
        <f>VLOOKUP(A15,'Cleaned Data'!$A:$S,15,FALSE)</f>
        <v>North America</v>
      </c>
      <c r="F15" s="2" t="s">
        <v>376</v>
      </c>
      <c r="G15" s="12" t="str">
        <f>VLOOKUP(A15,'Cleaned Data'!$A:$S,18,FALSE)</f>
        <v>2026-04-23</v>
      </c>
      <c r="H15" s="12" t="str">
        <f>VLOOKUP(A15,'Cleaned Data'!$A:$S,19,FALSE)</f>
        <v>Pending</v>
      </c>
    </row>
    <row r="16" spans="1:8" x14ac:dyDescent="0.25">
      <c r="A16" s="2" t="s">
        <v>23</v>
      </c>
      <c r="B16" s="12" t="str">
        <f>VLOOKUP(A16,'Cleaned Data'!$A:$S,2,FALSE)</f>
        <v>GaAs RF Power Amp</v>
      </c>
      <c r="C16" s="12" t="str">
        <f>VLOOKUP(A16,'Cleaned Data'!$A:$S,13,FALSE)</f>
        <v>TRK-62939</v>
      </c>
      <c r="D16" s="12" t="str">
        <f>VLOOKUP(A16,'Cleaned Data'!$A:$S,14,FALSE)</f>
        <v>DB Schenker</v>
      </c>
      <c r="E16" s="12" t="str">
        <f>VLOOKUP(A16,'Cleaned Data'!$A:$S,15,FALSE)</f>
        <v>Asia-Pacific</v>
      </c>
      <c r="F16" s="2" t="s">
        <v>375</v>
      </c>
      <c r="G16" s="12" t="str">
        <f>VLOOKUP(A16,'Cleaned Data'!$A:$S,18,FALSE)</f>
        <v>2026-01-10</v>
      </c>
      <c r="H16" s="12" t="str">
        <f>VLOOKUP(A16,'Cleaned Data'!$A:$S,19,FALSE)</f>
        <v>Pending</v>
      </c>
    </row>
    <row r="17" spans="1:8" x14ac:dyDescent="0.25">
      <c r="A17" s="7" t="s">
        <v>89</v>
      </c>
      <c r="B17" s="12" t="str">
        <f>VLOOKUP(A17,'Cleaned Data'!$A:$S,2,FALSE)</f>
        <v>NAND Flash 3D 128-Layer</v>
      </c>
      <c r="C17" s="12" t="str">
        <f>VLOOKUP(A17,'Cleaned Data'!$A:$S,13,FALSE)</f>
        <v>TRK-99575</v>
      </c>
      <c r="D17" s="12" t="str">
        <f>VLOOKUP(A17,'Cleaned Data'!$A:$S,14,FALSE)</f>
        <v>Nippon Express</v>
      </c>
      <c r="E17" s="12" t="str">
        <f>VLOOKUP(A17,'Cleaned Data'!$A:$S,15,FALSE)</f>
        <v>Asia-Pacific</v>
      </c>
      <c r="F17" s="2" t="s">
        <v>375</v>
      </c>
      <c r="G17" s="12" t="str">
        <f>VLOOKUP(A17,'Cleaned Data'!$A:$S,18,FALSE)</f>
        <v>2026-01-15</v>
      </c>
      <c r="H17" s="12" t="str">
        <f>VLOOKUP(A17,'Cleaned Data'!$A:$S,19,FALSE)</f>
        <v>Delayed at Customs</v>
      </c>
    </row>
    <row r="18" spans="1:8" x14ac:dyDescent="0.25">
      <c r="A18" s="2" t="s">
        <v>59</v>
      </c>
      <c r="B18" s="12" t="str">
        <f>VLOOKUP(A18,'Cleaned Data'!$A:$S,2,FALSE)</f>
        <v>GaN Fast Charger IC</v>
      </c>
      <c r="C18" s="12" t="str">
        <f>VLOOKUP(A18,'Cleaned Data'!$A:$S,13,FALSE)</f>
        <v>TRK-82133</v>
      </c>
      <c r="D18" s="12" t="str">
        <f>VLOOKUP(A18,'Cleaned Data'!$A:$S,14,FALSE)</f>
        <v>SF Express</v>
      </c>
      <c r="E18" s="12" t="str">
        <f>VLOOKUP(A18,'Cleaned Data'!$A:$S,15,FALSE)</f>
        <v>Europe</v>
      </c>
      <c r="F18" s="2" t="s">
        <v>378</v>
      </c>
      <c r="G18" s="12" t="str">
        <f>VLOOKUP(A18,'Cleaned Data'!$A:$S,18,FALSE)</f>
        <v>2026-03-02</v>
      </c>
      <c r="H18" s="12" t="str">
        <f>VLOOKUP(A18,'Cleaned Data'!$A:$S,19,FALSE)</f>
        <v>Delivered</v>
      </c>
    </row>
    <row r="19" spans="1:8" x14ac:dyDescent="0.25">
      <c r="A19" s="7" t="s">
        <v>67</v>
      </c>
      <c r="B19" s="12" t="str">
        <f>VLOOKUP(A19,'Cleaned Data'!$A:$S,2,FALSE)</f>
        <v>AI Accelerator GPU</v>
      </c>
      <c r="C19" s="12" t="str">
        <f>VLOOKUP(A19,'Cleaned Data'!$A:$S,13,FALSE)</f>
        <v>TRK-45814</v>
      </c>
      <c r="D19" s="12" t="str">
        <f>VLOOKUP(A19,'Cleaned Data'!$A:$S,14,FALSE)</f>
        <v>DB Schenker</v>
      </c>
      <c r="E19" s="12" t="str">
        <f>VLOOKUP(A19,'Cleaned Data'!$A:$S,15,FALSE)</f>
        <v>Asia-Pacific</v>
      </c>
      <c r="F19" s="2" t="s">
        <v>376</v>
      </c>
      <c r="G19" s="12" t="str">
        <f>VLOOKUP(A19,'Cleaned Data'!$A:$S,18,FALSE)</f>
        <v>2026-03-13</v>
      </c>
      <c r="H19" s="12" t="str">
        <f>VLOOKUP(A19,'Cleaned Data'!$A:$S,19,FALSE)</f>
        <v>Delayed at Customs</v>
      </c>
    </row>
    <row r="20" spans="1:8" x14ac:dyDescent="0.25">
      <c r="A20" s="2" t="s">
        <v>45</v>
      </c>
      <c r="B20" s="12" t="str">
        <f>VLOOKUP(A20,'Cleaned Data'!$A:$S,2,FALSE)</f>
        <v>IGBT Power Module</v>
      </c>
      <c r="C20" s="12" t="str">
        <f>VLOOKUP(A20,'Cleaned Data'!$A:$S,13,FALSE)</f>
        <v>TRK-99582</v>
      </c>
      <c r="D20" s="12" t="str">
        <f>VLOOKUP(A20,'Cleaned Data'!$A:$S,14,FALSE)</f>
        <v>Maersk Line</v>
      </c>
      <c r="E20" s="12" t="str">
        <f>VLOOKUP(A20,'Cleaned Data'!$A:$S,15,FALSE)</f>
        <v>North America</v>
      </c>
      <c r="F20" s="2" t="s">
        <v>375</v>
      </c>
      <c r="G20" s="12" t="str">
        <f>VLOOKUP(A20,'Cleaned Data'!$A:$S,18,FALSE)</f>
        <v>2026-01-12</v>
      </c>
      <c r="H20" s="12" t="str">
        <f>VLOOKUP(A20,'Cleaned Data'!$A:$S,19,FALSE)</f>
        <v>Delivered</v>
      </c>
    </row>
    <row r="21" spans="1:8" x14ac:dyDescent="0.25">
      <c r="A21" s="7" t="s">
        <v>30</v>
      </c>
      <c r="B21" s="12" t="str">
        <f>VLOOKUP(A21,'Cleaned Data'!$A:$S,2,FALSE)</f>
        <v>OLED Display Driver IC</v>
      </c>
      <c r="C21" s="12" t="str">
        <f>VLOOKUP(A21,'Cleaned Data'!$A:$S,13,FALSE)</f>
        <v>TRK-97678</v>
      </c>
      <c r="D21" s="12" t="str">
        <f>VLOOKUP(A21,'Cleaned Data'!$A:$S,14,FALSE)</f>
        <v>DB Schenker</v>
      </c>
      <c r="E21" s="12" t="str">
        <f>VLOOKUP(A21,'Cleaned Data'!$A:$S,15,FALSE)</f>
        <v>North America</v>
      </c>
      <c r="F21" s="2" t="s">
        <v>376</v>
      </c>
      <c r="G21" s="12" t="str">
        <f>VLOOKUP(A21,'Cleaned Data'!$A:$S,18,FALSE)</f>
        <v>2026-04-23</v>
      </c>
      <c r="H21" s="12" t="str">
        <f>VLOOKUP(A21,'Cleaned Data'!$A:$S,19,FALSE)</f>
        <v>Pending</v>
      </c>
    </row>
    <row r="22" spans="1:8" x14ac:dyDescent="0.25">
      <c r="A22" s="2" t="s">
        <v>89</v>
      </c>
      <c r="B22" s="12" t="str">
        <f>VLOOKUP(A22,'Cleaned Data'!$A:$S,2,FALSE)</f>
        <v>NAND Flash 3D 128-Layer</v>
      </c>
      <c r="C22" s="12" t="str">
        <f>VLOOKUP(A22,'Cleaned Data'!$A:$S,13,FALSE)</f>
        <v>TRK-99575</v>
      </c>
      <c r="D22" s="12" t="str">
        <f>VLOOKUP(A22,'Cleaned Data'!$A:$S,14,FALSE)</f>
        <v>Nippon Express</v>
      </c>
      <c r="E22" s="12" t="str">
        <f>VLOOKUP(A22,'Cleaned Data'!$A:$S,15,FALSE)</f>
        <v>Asia-Pacific</v>
      </c>
      <c r="F22" s="2" t="s">
        <v>375</v>
      </c>
      <c r="G22" s="12" t="str">
        <f>VLOOKUP(A22,'Cleaned Data'!$A:$S,18,FALSE)</f>
        <v>2026-01-15</v>
      </c>
      <c r="H22" s="12" t="str">
        <f>VLOOKUP(A22,'Cleaned Data'!$A:$S,19,FALSE)</f>
        <v>Delayed at Customs</v>
      </c>
    </row>
    <row r="23" spans="1:8" x14ac:dyDescent="0.25">
      <c r="A23" s="7" t="s">
        <v>106</v>
      </c>
      <c r="B23" s="12" t="str">
        <f>VLOOKUP(A23,'Cleaned Data'!$A:$S,2,FALSE)</f>
        <v>MEMS Pressure Sensor</v>
      </c>
      <c r="C23" s="12" t="str">
        <f>VLOOKUP(A23,'Cleaned Data'!$A:$S,13,FALSE)</f>
        <v>TRK-74078</v>
      </c>
      <c r="D23" s="12" t="str">
        <f>VLOOKUP(A23,'Cleaned Data'!$A:$S,14,FALSE)</f>
        <v>DB Schenker</v>
      </c>
      <c r="E23" s="12" t="str">
        <f>VLOOKUP(A23,'Cleaned Data'!$A:$S,15,FALSE)</f>
        <v>North America</v>
      </c>
      <c r="F23" s="2" t="s">
        <v>376</v>
      </c>
      <c r="G23" s="12" t="str">
        <f>VLOOKUP(A23,'Cleaned Data'!$A:$S,18,FALSE)</f>
        <v>2026-04-29</v>
      </c>
      <c r="H23" s="12" t="str">
        <f>VLOOKUP(A23,'Cleaned Data'!$A:$S,19,FALSE)</f>
        <v>In Transit</v>
      </c>
    </row>
    <row r="24" spans="1:8" x14ac:dyDescent="0.25">
      <c r="A24" s="2" t="s">
        <v>45</v>
      </c>
      <c r="B24" s="12" t="str">
        <f>VLOOKUP(A24,'Cleaned Data'!$A:$S,2,FALSE)</f>
        <v>IGBT Power Module</v>
      </c>
      <c r="C24" s="12" t="str">
        <f>VLOOKUP(A24,'Cleaned Data'!$A:$S,13,FALSE)</f>
        <v>TRK-99582</v>
      </c>
      <c r="D24" s="12" t="str">
        <f>VLOOKUP(A24,'Cleaned Data'!$A:$S,14,FALSE)</f>
        <v>Maersk Line</v>
      </c>
      <c r="E24" s="12" t="str">
        <f>VLOOKUP(A24,'Cleaned Data'!$A:$S,15,FALSE)</f>
        <v>North America</v>
      </c>
      <c r="F24" s="2" t="s">
        <v>375</v>
      </c>
      <c r="G24" s="12" t="str">
        <f>VLOOKUP(A24,'Cleaned Data'!$A:$S,18,FALSE)</f>
        <v>2026-01-12</v>
      </c>
      <c r="H24" s="12" t="str">
        <f>VLOOKUP(A24,'Cleaned Data'!$A:$S,19,FALSE)</f>
        <v>Delivered</v>
      </c>
    </row>
    <row r="25" spans="1:8" x14ac:dyDescent="0.25">
      <c r="A25" s="7" t="s">
        <v>53</v>
      </c>
      <c r="B25" s="12" t="str">
        <f>VLOOKUP(A25,'Cleaned Data'!$A:$S,2,FALSE)</f>
        <v>Silicon Wafer 300mm</v>
      </c>
      <c r="C25" s="12" t="str">
        <f>VLOOKUP(A25,'Cleaned Data'!$A:$S,13,FALSE)</f>
        <v>TRK-28391</v>
      </c>
      <c r="D25" s="12" t="str">
        <f>VLOOKUP(A25,'Cleaned Data'!$A:$S,14,FALSE)</f>
        <v>SF Express</v>
      </c>
      <c r="E25" s="12" t="str">
        <f>VLOOKUP(A25,'Cleaned Data'!$A:$S,15,FALSE)</f>
        <v>Asia-Pacific</v>
      </c>
      <c r="F25" s="2" t="s">
        <v>375</v>
      </c>
      <c r="G25" s="12" t="str">
        <f>VLOOKUP(A25,'Cleaned Data'!$A:$S,18,FALSE)</f>
        <v>2026-04-30</v>
      </c>
      <c r="H25" s="12" t="str">
        <f>VLOOKUP(A25,'Cleaned Data'!$A:$S,19,FALSE)</f>
        <v>In Transit</v>
      </c>
    </row>
    <row r="26" spans="1:8" x14ac:dyDescent="0.25">
      <c r="A26" s="2" t="s">
        <v>23</v>
      </c>
      <c r="B26" s="12" t="str">
        <f>VLOOKUP(A26,'Cleaned Data'!$A:$S,2,FALSE)</f>
        <v>GaAs RF Power Amp</v>
      </c>
      <c r="C26" s="12" t="str">
        <f>VLOOKUP(A26,'Cleaned Data'!$A:$S,13,FALSE)</f>
        <v>TRK-62939</v>
      </c>
      <c r="D26" s="12" t="str">
        <f>VLOOKUP(A26,'Cleaned Data'!$A:$S,14,FALSE)</f>
        <v>DB Schenker</v>
      </c>
      <c r="E26" s="12" t="str">
        <f>VLOOKUP(A26,'Cleaned Data'!$A:$S,15,FALSE)</f>
        <v>Asia-Pacific</v>
      </c>
      <c r="F26" s="2" t="s">
        <v>376</v>
      </c>
      <c r="G26" s="12" t="str">
        <f>VLOOKUP(A26,'Cleaned Data'!$A:$S,18,FALSE)</f>
        <v>2026-01-10</v>
      </c>
      <c r="H26" s="12" t="str">
        <f>VLOOKUP(A26,'Cleaned Data'!$A:$S,19,FALSE)</f>
        <v>Pending</v>
      </c>
    </row>
    <row r="27" spans="1:8" x14ac:dyDescent="0.25">
      <c r="A27" s="7" t="s">
        <v>59</v>
      </c>
      <c r="B27" s="12" t="str">
        <f>VLOOKUP(A27,'Cleaned Data'!$A:$S,2,FALSE)</f>
        <v>GaN Fast Charger IC</v>
      </c>
      <c r="C27" s="12" t="str">
        <f>VLOOKUP(A27,'Cleaned Data'!$A:$S,13,FALSE)</f>
        <v>TRK-82133</v>
      </c>
      <c r="D27" s="12" t="str">
        <f>VLOOKUP(A27,'Cleaned Data'!$A:$S,14,FALSE)</f>
        <v>SF Express</v>
      </c>
      <c r="E27" s="12" t="str">
        <f>VLOOKUP(A27,'Cleaned Data'!$A:$S,15,FALSE)</f>
        <v>Europe</v>
      </c>
      <c r="F27" s="2" t="s">
        <v>376</v>
      </c>
      <c r="G27" s="12" t="str">
        <f>VLOOKUP(A27,'Cleaned Data'!$A:$S,18,FALSE)</f>
        <v>2026-03-02</v>
      </c>
      <c r="H27" s="12" t="str">
        <f>VLOOKUP(A27,'Cleaned Data'!$A:$S,19,FALSE)</f>
        <v>Delivered</v>
      </c>
    </row>
    <row r="28" spans="1:8" x14ac:dyDescent="0.25">
      <c r="A28" s="2" t="s">
        <v>89</v>
      </c>
      <c r="B28" s="12" t="str">
        <f>VLOOKUP(A28,'Cleaned Data'!$A:$S,2,FALSE)</f>
        <v>NAND Flash 3D 128-Layer</v>
      </c>
      <c r="C28" s="12" t="str">
        <f>VLOOKUP(A28,'Cleaned Data'!$A:$S,13,FALSE)</f>
        <v>TRK-99575</v>
      </c>
      <c r="D28" s="12" t="str">
        <f>VLOOKUP(A28,'Cleaned Data'!$A:$S,14,FALSE)</f>
        <v>Nippon Express</v>
      </c>
      <c r="E28" s="12" t="str">
        <f>VLOOKUP(A28,'Cleaned Data'!$A:$S,15,FALSE)</f>
        <v>Asia-Pacific</v>
      </c>
      <c r="F28" s="2" t="s">
        <v>375</v>
      </c>
      <c r="G28" s="12" t="str">
        <f>VLOOKUP(A28,'Cleaned Data'!$A:$S,18,FALSE)</f>
        <v>2026-01-15</v>
      </c>
      <c r="H28" s="12" t="str">
        <f>VLOOKUP(A28,'Cleaned Data'!$A:$S,19,FALSE)</f>
        <v>Delayed at Customs</v>
      </c>
    </row>
    <row r="29" spans="1:8" x14ac:dyDescent="0.25">
      <c r="A29" s="7" t="s">
        <v>23</v>
      </c>
      <c r="B29" s="12" t="str">
        <f>VLOOKUP(A29,'Cleaned Data'!$A:$S,2,FALSE)</f>
        <v>GaAs RF Power Amp</v>
      </c>
      <c r="C29" s="12" t="str">
        <f>VLOOKUP(A29,'Cleaned Data'!$A:$S,13,FALSE)</f>
        <v>TRK-62939</v>
      </c>
      <c r="D29" s="12" t="str">
        <f>VLOOKUP(A29,'Cleaned Data'!$A:$S,14,FALSE)</f>
        <v>DB Schenker</v>
      </c>
      <c r="E29" s="12" t="str">
        <f>VLOOKUP(A29,'Cleaned Data'!$A:$S,15,FALSE)</f>
        <v>Asia-Pacific</v>
      </c>
      <c r="F29" s="2" t="s">
        <v>376</v>
      </c>
      <c r="G29" s="12" t="str">
        <f>VLOOKUP(A29,'Cleaned Data'!$A:$S,18,FALSE)</f>
        <v>2026-01-10</v>
      </c>
      <c r="H29" s="12" t="str">
        <f>VLOOKUP(A29,'Cleaned Data'!$A:$S,19,FALSE)</f>
        <v>Pending</v>
      </c>
    </row>
    <row r="30" spans="1:8" x14ac:dyDescent="0.25">
      <c r="A30" s="2" t="s">
        <v>14</v>
      </c>
      <c r="B30" s="12" t="str">
        <f>VLOOKUP(A30,'Cleaned Data'!$A:$S,2,FALSE)</f>
        <v>CMOS Image Sensor (CIS)</v>
      </c>
      <c r="C30" s="12" t="str">
        <f>VLOOKUP(A30,'Cleaned Data'!$A:$S,13,FALSE)</f>
        <v>TRK-73630</v>
      </c>
      <c r="D30" s="12" t="str">
        <f>VLOOKUP(A30,'Cleaned Data'!$A:$S,14,FALSE)</f>
        <v>SF Express</v>
      </c>
      <c r="E30" s="12" t="str">
        <f>VLOOKUP(A30,'Cleaned Data'!$A:$S,15,FALSE)</f>
        <v>Asia-Pacific</v>
      </c>
      <c r="F30" s="2" t="s">
        <v>375</v>
      </c>
      <c r="G30" s="12" t="str">
        <f>VLOOKUP(A30,'Cleaned Data'!$A:$S,18,FALSE)</f>
        <v>2026-02-13</v>
      </c>
      <c r="H30" s="12" t="str">
        <f>VLOOKUP(A30,'Cleaned Data'!$A:$S,19,FALSE)</f>
        <v>Pending</v>
      </c>
    </row>
    <row r="31" spans="1:8" x14ac:dyDescent="0.25">
      <c r="A31" s="7" t="s">
        <v>14</v>
      </c>
      <c r="B31" s="12" t="str">
        <f>VLOOKUP(A31,'Cleaned Data'!$A:$S,2,FALSE)</f>
        <v>CMOS Image Sensor (CIS)</v>
      </c>
      <c r="C31" s="12" t="str">
        <f>VLOOKUP(A31,'Cleaned Data'!$A:$S,13,FALSE)</f>
        <v>TRK-73630</v>
      </c>
      <c r="D31" s="12" t="str">
        <f>VLOOKUP(A31,'Cleaned Data'!$A:$S,14,FALSE)</f>
        <v>SF Express</v>
      </c>
      <c r="E31" s="12" t="str">
        <f>VLOOKUP(A31,'Cleaned Data'!$A:$S,15,FALSE)</f>
        <v>Asia-Pacific</v>
      </c>
      <c r="F31" s="2" t="s">
        <v>375</v>
      </c>
      <c r="G31" s="12" t="str">
        <f>VLOOKUP(A31,'Cleaned Data'!$A:$S,18,FALSE)</f>
        <v>2026-02-13</v>
      </c>
      <c r="H31" s="12" t="str">
        <f>VLOOKUP(A31,'Cleaned Data'!$A:$S,19,FALSE)</f>
        <v>Pending</v>
      </c>
    </row>
    <row r="32" spans="1:8" x14ac:dyDescent="0.25">
      <c r="A32" s="2" t="s">
        <v>53</v>
      </c>
      <c r="B32" s="12" t="str">
        <f>VLOOKUP(A32,'Cleaned Data'!$A:$S,2,FALSE)</f>
        <v>Silicon Wafer 300mm</v>
      </c>
      <c r="C32" s="12" t="str">
        <f>VLOOKUP(A32,'Cleaned Data'!$A:$S,13,FALSE)</f>
        <v>TRK-28391</v>
      </c>
      <c r="D32" s="12" t="str">
        <f>VLOOKUP(A32,'Cleaned Data'!$A:$S,14,FALSE)</f>
        <v>SF Express</v>
      </c>
      <c r="E32" s="12" t="str">
        <f>VLOOKUP(A32,'Cleaned Data'!$A:$S,15,FALSE)</f>
        <v>Asia-Pacific</v>
      </c>
      <c r="F32" s="2" t="s">
        <v>376</v>
      </c>
      <c r="G32" s="12" t="str">
        <f>VLOOKUP(A32,'Cleaned Data'!$A:$S,18,FALSE)</f>
        <v>2026-04-30</v>
      </c>
      <c r="H32" s="12" t="str">
        <f>VLOOKUP(A32,'Cleaned Data'!$A:$S,19,FALSE)</f>
        <v>In Transit</v>
      </c>
    </row>
    <row r="33" spans="1:8" x14ac:dyDescent="0.25">
      <c r="A33" s="7" t="s">
        <v>53</v>
      </c>
      <c r="B33" s="12" t="str">
        <f>VLOOKUP(A33,'Cleaned Data'!$A:$S,2,FALSE)</f>
        <v>Silicon Wafer 300mm</v>
      </c>
      <c r="C33" s="12" t="str">
        <f>VLOOKUP(A33,'Cleaned Data'!$A:$S,13,FALSE)</f>
        <v>TRK-28391</v>
      </c>
      <c r="D33" s="12" t="str">
        <f>VLOOKUP(A33,'Cleaned Data'!$A:$S,14,FALSE)</f>
        <v>SF Express</v>
      </c>
      <c r="E33" s="12" t="str">
        <f>VLOOKUP(A33,'Cleaned Data'!$A:$S,15,FALSE)</f>
        <v>Asia-Pacific</v>
      </c>
      <c r="F33" s="2" t="s">
        <v>378</v>
      </c>
      <c r="G33" s="12" t="str">
        <f>VLOOKUP(A33,'Cleaned Data'!$A:$S,18,FALSE)</f>
        <v>2026-04-30</v>
      </c>
      <c r="H33" s="12" t="str">
        <f>VLOOKUP(A33,'Cleaned Data'!$A:$S,19,FALSE)</f>
        <v>In Transit</v>
      </c>
    </row>
    <row r="34" spans="1:8" x14ac:dyDescent="0.25">
      <c r="A34" s="2" t="s">
        <v>53</v>
      </c>
      <c r="B34" s="12" t="str">
        <f>VLOOKUP(A34,'Cleaned Data'!$A:$S,2,FALSE)</f>
        <v>Silicon Wafer 300mm</v>
      </c>
      <c r="C34" s="12" t="str">
        <f>VLOOKUP(A34,'Cleaned Data'!$A:$S,13,FALSE)</f>
        <v>TRK-28391</v>
      </c>
      <c r="D34" s="12" t="str">
        <f>VLOOKUP(A34,'Cleaned Data'!$A:$S,14,FALSE)</f>
        <v>SF Express</v>
      </c>
      <c r="E34" s="12" t="str">
        <f>VLOOKUP(A34,'Cleaned Data'!$A:$S,15,FALSE)</f>
        <v>Asia-Pacific</v>
      </c>
      <c r="F34" s="2" t="s">
        <v>376</v>
      </c>
      <c r="G34" s="12" t="str">
        <f>VLOOKUP(A34,'Cleaned Data'!$A:$S,18,FALSE)</f>
        <v>2026-04-30</v>
      </c>
      <c r="H34" s="12" t="str">
        <f>VLOOKUP(A34,'Cleaned Data'!$A:$S,19,FALSE)</f>
        <v>In Transit</v>
      </c>
    </row>
    <row r="35" spans="1:8" x14ac:dyDescent="0.25">
      <c r="A35" s="7" t="s">
        <v>30</v>
      </c>
      <c r="B35" s="12" t="str">
        <f>VLOOKUP(A35,'Cleaned Data'!$A:$S,2,FALSE)</f>
        <v>OLED Display Driver IC</v>
      </c>
      <c r="C35" s="12" t="str">
        <f>VLOOKUP(A35,'Cleaned Data'!$A:$S,13,FALSE)</f>
        <v>TRK-97678</v>
      </c>
      <c r="D35" s="12" t="str">
        <f>VLOOKUP(A35,'Cleaned Data'!$A:$S,14,FALSE)</f>
        <v>DB Schenker</v>
      </c>
      <c r="E35" s="12" t="str">
        <f>VLOOKUP(A35,'Cleaned Data'!$A:$S,15,FALSE)</f>
        <v>North America</v>
      </c>
      <c r="F35" s="2" t="s">
        <v>376</v>
      </c>
      <c r="G35" s="12" t="str">
        <f>VLOOKUP(A35,'Cleaned Data'!$A:$S,18,FALSE)</f>
        <v>2026-04-23</v>
      </c>
      <c r="H35" s="12" t="str">
        <f>VLOOKUP(A35,'Cleaned Data'!$A:$S,19,FALSE)</f>
        <v>Pending</v>
      </c>
    </row>
    <row r="36" spans="1:8" x14ac:dyDescent="0.25">
      <c r="A36" s="2" t="s">
        <v>23</v>
      </c>
      <c r="B36" s="12" t="str">
        <f>VLOOKUP(A36,'Cleaned Data'!$A:$S,2,FALSE)</f>
        <v>GaAs RF Power Amp</v>
      </c>
      <c r="C36" s="12" t="str">
        <f>VLOOKUP(A36,'Cleaned Data'!$A:$S,13,FALSE)</f>
        <v>TRK-62939</v>
      </c>
      <c r="D36" s="12" t="str">
        <f>VLOOKUP(A36,'Cleaned Data'!$A:$S,14,FALSE)</f>
        <v>DB Schenker</v>
      </c>
      <c r="E36" s="12" t="str">
        <f>VLOOKUP(A36,'Cleaned Data'!$A:$S,15,FALSE)</f>
        <v>Asia-Pacific</v>
      </c>
      <c r="F36" s="2" t="s">
        <v>375</v>
      </c>
      <c r="G36" s="12" t="str">
        <f>VLOOKUP(A36,'Cleaned Data'!$A:$S,18,FALSE)</f>
        <v>2026-01-10</v>
      </c>
      <c r="H36" s="12" t="str">
        <f>VLOOKUP(A36,'Cleaned Data'!$A:$S,19,FALSE)</f>
        <v>Pending</v>
      </c>
    </row>
    <row r="37" spans="1:8" x14ac:dyDescent="0.25">
      <c r="A37" s="7" t="s">
        <v>37</v>
      </c>
      <c r="B37" s="12" t="str">
        <f>VLOOKUP(A37,'Cleaned Data'!$A:$S,2,FALSE)</f>
        <v>Automotive MCU (16-bit)</v>
      </c>
      <c r="C37" s="12" t="str">
        <f>VLOOKUP(A37,'Cleaned Data'!$A:$S,13,FALSE)</f>
        <v>TRK-66595</v>
      </c>
      <c r="D37" s="12" t="str">
        <f>VLOOKUP(A37,'Cleaned Data'!$A:$S,14,FALSE)</f>
        <v>FedEx Cargo</v>
      </c>
      <c r="E37" s="12" t="str">
        <f>VLOOKUP(A37,'Cleaned Data'!$A:$S,15,FALSE)</f>
        <v>Europe</v>
      </c>
      <c r="F37" s="2" t="s">
        <v>376</v>
      </c>
      <c r="G37" s="12" t="str">
        <f>VLOOKUP(A37,'Cleaned Data'!$A:$S,18,FALSE)</f>
        <v>2026-01-10</v>
      </c>
      <c r="H37" s="12" t="str">
        <f>VLOOKUP(A37,'Cleaned Data'!$A:$S,19,FALSE)</f>
        <v>In Transit</v>
      </c>
    </row>
    <row r="38" spans="1:8" x14ac:dyDescent="0.25">
      <c r="A38" s="2" t="s">
        <v>106</v>
      </c>
      <c r="B38" s="12" t="str">
        <f>VLOOKUP(A38,'Cleaned Data'!$A:$S,2,FALSE)</f>
        <v>MEMS Pressure Sensor</v>
      </c>
      <c r="C38" s="12" t="str">
        <f>VLOOKUP(A38,'Cleaned Data'!$A:$S,13,FALSE)</f>
        <v>TRK-74078</v>
      </c>
      <c r="D38" s="12" t="str">
        <f>VLOOKUP(A38,'Cleaned Data'!$A:$S,14,FALSE)</f>
        <v>DB Schenker</v>
      </c>
      <c r="E38" s="12" t="str">
        <f>VLOOKUP(A38,'Cleaned Data'!$A:$S,15,FALSE)</f>
        <v>North America</v>
      </c>
      <c r="F38" s="2" t="s">
        <v>376</v>
      </c>
      <c r="G38" s="12" t="str">
        <f>VLOOKUP(A38,'Cleaned Data'!$A:$S,18,FALSE)</f>
        <v>2026-04-29</v>
      </c>
      <c r="H38" s="12" t="str">
        <f>VLOOKUP(A38,'Cleaned Data'!$A:$S,19,FALSE)</f>
        <v>In Transit</v>
      </c>
    </row>
    <row r="39" spans="1:8" x14ac:dyDescent="0.25">
      <c r="A39" s="7" t="s">
        <v>37</v>
      </c>
      <c r="B39" s="12" t="str">
        <f>VLOOKUP(A39,'Cleaned Data'!$A:$S,2,FALSE)</f>
        <v>Automotive MCU (16-bit)</v>
      </c>
      <c r="C39" s="12" t="str">
        <f>VLOOKUP(A39,'Cleaned Data'!$A:$S,13,FALSE)</f>
        <v>TRK-66595</v>
      </c>
      <c r="D39" s="12" t="str">
        <f>VLOOKUP(A39,'Cleaned Data'!$A:$S,14,FALSE)</f>
        <v>FedEx Cargo</v>
      </c>
      <c r="E39" s="12" t="str">
        <f>VLOOKUP(A39,'Cleaned Data'!$A:$S,15,FALSE)</f>
        <v>Europe</v>
      </c>
      <c r="F39" s="2" t="s">
        <v>376</v>
      </c>
      <c r="G39" s="12" t="str">
        <f>VLOOKUP(A39,'Cleaned Data'!$A:$S,18,FALSE)</f>
        <v>2026-01-10</v>
      </c>
      <c r="H39" s="12" t="str">
        <f>VLOOKUP(A39,'Cleaned Data'!$A:$S,19,FALSE)</f>
        <v>In Transit</v>
      </c>
    </row>
    <row r="40" spans="1:8" x14ac:dyDescent="0.25">
      <c r="A40" s="2" t="s">
        <v>67</v>
      </c>
      <c r="B40" s="12" t="str">
        <f>VLOOKUP(A40,'Cleaned Data'!$A:$S,2,FALSE)</f>
        <v>AI Accelerator GPU</v>
      </c>
      <c r="C40" s="12" t="str">
        <f>VLOOKUP(A40,'Cleaned Data'!$A:$S,13,FALSE)</f>
        <v>TRK-45814</v>
      </c>
      <c r="D40" s="12" t="str">
        <f>VLOOKUP(A40,'Cleaned Data'!$A:$S,14,FALSE)</f>
        <v>DB Schenker</v>
      </c>
      <c r="E40" s="12" t="str">
        <f>VLOOKUP(A40,'Cleaned Data'!$A:$S,15,FALSE)</f>
        <v>Asia-Pacific</v>
      </c>
      <c r="F40" s="2" t="s">
        <v>376</v>
      </c>
      <c r="G40" s="12" t="str">
        <f>VLOOKUP(A40,'Cleaned Data'!$A:$S,18,FALSE)</f>
        <v>2026-03-13</v>
      </c>
      <c r="H40" s="12" t="str">
        <f>VLOOKUP(A40,'Cleaned Data'!$A:$S,19,FALSE)</f>
        <v>Delayed at Customs</v>
      </c>
    </row>
    <row r="41" spans="1:8" x14ac:dyDescent="0.25">
      <c r="A41" s="7" t="s">
        <v>23</v>
      </c>
      <c r="B41" s="12" t="str">
        <f>VLOOKUP(A41,'Cleaned Data'!$A:$S,2,FALSE)</f>
        <v>GaAs RF Power Amp</v>
      </c>
      <c r="C41" s="12" t="str">
        <f>VLOOKUP(A41,'Cleaned Data'!$A:$S,13,FALSE)</f>
        <v>TRK-62939</v>
      </c>
      <c r="D41" s="12" t="str">
        <f>VLOOKUP(A41,'Cleaned Data'!$A:$S,14,FALSE)</f>
        <v>DB Schenker</v>
      </c>
      <c r="E41" s="12" t="str">
        <f>VLOOKUP(A41,'Cleaned Data'!$A:$S,15,FALSE)</f>
        <v>Asia-Pacific</v>
      </c>
      <c r="F41" s="2" t="s">
        <v>378</v>
      </c>
      <c r="G41" s="12" t="str">
        <f>VLOOKUP(A41,'Cleaned Data'!$A:$S,18,FALSE)</f>
        <v>2026-01-10</v>
      </c>
      <c r="H41" s="12" t="str">
        <f>VLOOKUP(A41,'Cleaned Data'!$A:$S,19,FALSE)</f>
        <v>Pending</v>
      </c>
    </row>
    <row r="42" spans="1:8" x14ac:dyDescent="0.25">
      <c r="A42" s="2" t="s">
        <v>59</v>
      </c>
      <c r="B42" s="12" t="str">
        <f>VLOOKUP(A42,'Cleaned Data'!$A:$S,2,FALSE)</f>
        <v>GaN Fast Charger IC</v>
      </c>
      <c r="C42" s="12" t="str">
        <f>VLOOKUP(A42,'Cleaned Data'!$A:$S,13,FALSE)</f>
        <v>TRK-82133</v>
      </c>
      <c r="D42" s="12" t="str">
        <f>VLOOKUP(A42,'Cleaned Data'!$A:$S,14,FALSE)</f>
        <v>SF Express</v>
      </c>
      <c r="E42" s="12" t="str">
        <f>VLOOKUP(A42,'Cleaned Data'!$A:$S,15,FALSE)</f>
        <v>Europe</v>
      </c>
      <c r="F42" s="2" t="s">
        <v>376</v>
      </c>
      <c r="G42" s="12" t="str">
        <f>VLOOKUP(A42,'Cleaned Data'!$A:$S,18,FALSE)</f>
        <v>2026-03-02</v>
      </c>
      <c r="H42" s="12" t="str">
        <f>VLOOKUP(A42,'Cleaned Data'!$A:$S,19,FALSE)</f>
        <v>Delivered</v>
      </c>
    </row>
    <row r="43" spans="1:8" x14ac:dyDescent="0.25">
      <c r="A43" s="7" t="s">
        <v>14</v>
      </c>
      <c r="B43" s="12" t="str">
        <f>VLOOKUP(A43,'Cleaned Data'!$A:$S,2,FALSE)</f>
        <v>CMOS Image Sensor (CIS)</v>
      </c>
      <c r="C43" s="12" t="str">
        <f>VLOOKUP(A43,'Cleaned Data'!$A:$S,13,FALSE)</f>
        <v>TRK-73630</v>
      </c>
      <c r="D43" s="12" t="str">
        <f>VLOOKUP(A43,'Cleaned Data'!$A:$S,14,FALSE)</f>
        <v>SF Express</v>
      </c>
      <c r="E43" s="12" t="str">
        <f>VLOOKUP(A43,'Cleaned Data'!$A:$S,15,FALSE)</f>
        <v>Asia-Pacific</v>
      </c>
      <c r="F43" s="2" t="s">
        <v>375</v>
      </c>
      <c r="G43" s="12" t="str">
        <f>VLOOKUP(A43,'Cleaned Data'!$A:$S,18,FALSE)</f>
        <v>2026-02-13</v>
      </c>
      <c r="H43" s="12" t="str">
        <f>VLOOKUP(A43,'Cleaned Data'!$A:$S,19,FALSE)</f>
        <v>Pending</v>
      </c>
    </row>
    <row r="44" spans="1:8" x14ac:dyDescent="0.25">
      <c r="A44" s="2" t="s">
        <v>30</v>
      </c>
      <c r="B44" s="12" t="str">
        <f>VLOOKUP(A44,'Cleaned Data'!$A:$S,2,FALSE)</f>
        <v>OLED Display Driver IC</v>
      </c>
      <c r="C44" s="12" t="str">
        <f>VLOOKUP(A44,'Cleaned Data'!$A:$S,13,FALSE)</f>
        <v>TRK-97678</v>
      </c>
      <c r="D44" s="12" t="str">
        <f>VLOOKUP(A44,'Cleaned Data'!$A:$S,14,FALSE)</f>
        <v>DB Schenker</v>
      </c>
      <c r="E44" s="12" t="str">
        <f>VLOOKUP(A44,'Cleaned Data'!$A:$S,15,FALSE)</f>
        <v>North America</v>
      </c>
      <c r="F44" s="2" t="s">
        <v>376</v>
      </c>
      <c r="G44" s="12" t="str">
        <f>VLOOKUP(A44,'Cleaned Data'!$A:$S,18,FALSE)</f>
        <v>2026-04-23</v>
      </c>
      <c r="H44" s="12" t="str">
        <f>VLOOKUP(A44,'Cleaned Data'!$A:$S,19,FALSE)</f>
        <v>Pending</v>
      </c>
    </row>
    <row r="45" spans="1:8" x14ac:dyDescent="0.25">
      <c r="A45" s="7" t="s">
        <v>45</v>
      </c>
      <c r="B45" s="12" t="str">
        <f>VLOOKUP(A45,'Cleaned Data'!$A:$S,2,FALSE)</f>
        <v>IGBT Power Module</v>
      </c>
      <c r="C45" s="12" t="str">
        <f>VLOOKUP(A45,'Cleaned Data'!$A:$S,13,FALSE)</f>
        <v>TRK-99582</v>
      </c>
      <c r="D45" s="12" t="str">
        <f>VLOOKUP(A45,'Cleaned Data'!$A:$S,14,FALSE)</f>
        <v>Maersk Line</v>
      </c>
      <c r="E45" s="12" t="str">
        <f>VLOOKUP(A45,'Cleaned Data'!$A:$S,15,FALSE)</f>
        <v>North America</v>
      </c>
      <c r="F45" s="2" t="s">
        <v>376</v>
      </c>
      <c r="G45" s="12" t="str">
        <f>VLOOKUP(A45,'Cleaned Data'!$A:$S,18,FALSE)</f>
        <v>2026-01-12</v>
      </c>
      <c r="H45" s="12" t="str">
        <f>VLOOKUP(A45,'Cleaned Data'!$A:$S,19,FALSE)</f>
        <v>Delivered</v>
      </c>
    </row>
    <row r="46" spans="1:8" x14ac:dyDescent="0.25">
      <c r="A46" s="2" t="s">
        <v>89</v>
      </c>
      <c r="B46" s="12" t="str">
        <f>VLOOKUP(A46,'Cleaned Data'!$A:$S,2,FALSE)</f>
        <v>NAND Flash 3D 128-Layer</v>
      </c>
      <c r="C46" s="12" t="str">
        <f>VLOOKUP(A46,'Cleaned Data'!$A:$S,13,FALSE)</f>
        <v>TRK-99575</v>
      </c>
      <c r="D46" s="12" t="str">
        <f>VLOOKUP(A46,'Cleaned Data'!$A:$S,14,FALSE)</f>
        <v>Nippon Express</v>
      </c>
      <c r="E46" s="12" t="str">
        <f>VLOOKUP(A46,'Cleaned Data'!$A:$S,15,FALSE)</f>
        <v>Asia-Pacific</v>
      </c>
      <c r="F46" s="2" t="s">
        <v>375</v>
      </c>
      <c r="G46" s="12" t="str">
        <f>VLOOKUP(A46,'Cleaned Data'!$A:$S,18,FALSE)</f>
        <v>2026-01-15</v>
      </c>
      <c r="H46" s="12" t="str">
        <f>VLOOKUP(A46,'Cleaned Data'!$A:$S,19,FALSE)</f>
        <v>Delayed at Customs</v>
      </c>
    </row>
    <row r="47" spans="1:8" x14ac:dyDescent="0.25">
      <c r="A47" s="7" t="s">
        <v>30</v>
      </c>
      <c r="B47" s="12" t="str">
        <f>VLOOKUP(A47,'Cleaned Data'!$A:$S,2,FALSE)</f>
        <v>OLED Display Driver IC</v>
      </c>
      <c r="C47" s="12" t="str">
        <f>VLOOKUP(A47,'Cleaned Data'!$A:$S,13,FALSE)</f>
        <v>TRK-97678</v>
      </c>
      <c r="D47" s="12" t="str">
        <f>VLOOKUP(A47,'Cleaned Data'!$A:$S,14,FALSE)</f>
        <v>DB Schenker</v>
      </c>
      <c r="E47" s="12" t="str">
        <f>VLOOKUP(A47,'Cleaned Data'!$A:$S,15,FALSE)</f>
        <v>North America</v>
      </c>
      <c r="F47" s="2" t="s">
        <v>375</v>
      </c>
      <c r="G47" s="12" t="str">
        <f>VLOOKUP(A47,'Cleaned Data'!$A:$S,18,FALSE)</f>
        <v>2026-04-23</v>
      </c>
      <c r="H47" s="12" t="str">
        <f>VLOOKUP(A47,'Cleaned Data'!$A:$S,19,FALSE)</f>
        <v>Pending</v>
      </c>
    </row>
    <row r="48" spans="1:8" x14ac:dyDescent="0.25">
      <c r="A48" s="2" t="s">
        <v>14</v>
      </c>
      <c r="B48" s="12" t="str">
        <f>VLOOKUP(A48,'Cleaned Data'!$A:$S,2,FALSE)</f>
        <v>CMOS Image Sensor (CIS)</v>
      </c>
      <c r="C48" s="12" t="str">
        <f>VLOOKUP(A48,'Cleaned Data'!$A:$S,13,FALSE)</f>
        <v>TRK-73630</v>
      </c>
      <c r="D48" s="12" t="str">
        <f>VLOOKUP(A48,'Cleaned Data'!$A:$S,14,FALSE)</f>
        <v>SF Express</v>
      </c>
      <c r="E48" s="12" t="str">
        <f>VLOOKUP(A48,'Cleaned Data'!$A:$S,15,FALSE)</f>
        <v>Asia-Pacific</v>
      </c>
      <c r="F48" s="2" t="s">
        <v>376</v>
      </c>
      <c r="G48" s="12" t="str">
        <f>VLOOKUP(A48,'Cleaned Data'!$A:$S,18,FALSE)</f>
        <v>2026-02-13</v>
      </c>
      <c r="H48" s="12" t="str">
        <f>VLOOKUP(A48,'Cleaned Data'!$A:$S,19,FALSE)</f>
        <v>Pending</v>
      </c>
    </row>
    <row r="49" spans="1:8" x14ac:dyDescent="0.25">
      <c r="A49" s="7" t="s">
        <v>89</v>
      </c>
      <c r="B49" s="12" t="str">
        <f>VLOOKUP(A49,'Cleaned Data'!$A:$S,2,FALSE)</f>
        <v>NAND Flash 3D 128-Layer</v>
      </c>
      <c r="C49" s="12" t="str">
        <f>VLOOKUP(A49,'Cleaned Data'!$A:$S,13,FALSE)</f>
        <v>TRK-99575</v>
      </c>
      <c r="D49" s="12" t="str">
        <f>VLOOKUP(A49,'Cleaned Data'!$A:$S,14,FALSE)</f>
        <v>Nippon Express</v>
      </c>
      <c r="E49" s="12" t="str">
        <f>VLOOKUP(A49,'Cleaned Data'!$A:$S,15,FALSE)</f>
        <v>Asia-Pacific</v>
      </c>
      <c r="F49" s="2" t="s">
        <v>376</v>
      </c>
      <c r="G49" s="12" t="str">
        <f>VLOOKUP(A49,'Cleaned Data'!$A:$S,18,FALSE)</f>
        <v>2026-01-15</v>
      </c>
      <c r="H49" s="12" t="str">
        <f>VLOOKUP(A49,'Cleaned Data'!$A:$S,19,FALSE)</f>
        <v>Delayed at Customs</v>
      </c>
    </row>
    <row r="50" spans="1:8" x14ac:dyDescent="0.25">
      <c r="A50" s="2" t="s">
        <v>14</v>
      </c>
      <c r="B50" s="12" t="str">
        <f>VLOOKUP(A50,'Cleaned Data'!$A:$S,2,FALSE)</f>
        <v>CMOS Image Sensor (CIS)</v>
      </c>
      <c r="C50" s="12" t="str">
        <f>VLOOKUP(A50,'Cleaned Data'!$A:$S,13,FALSE)</f>
        <v>TRK-73630</v>
      </c>
      <c r="D50" s="12" t="str">
        <f>VLOOKUP(A50,'Cleaned Data'!$A:$S,14,FALSE)</f>
        <v>SF Express</v>
      </c>
      <c r="E50" s="12" t="str">
        <f>VLOOKUP(A50,'Cleaned Data'!$A:$S,15,FALSE)</f>
        <v>Asia-Pacific</v>
      </c>
      <c r="F50" s="2" t="s">
        <v>375</v>
      </c>
      <c r="G50" s="12" t="str">
        <f>VLOOKUP(A50,'Cleaned Data'!$A:$S,18,FALSE)</f>
        <v>2026-02-13</v>
      </c>
      <c r="H50" s="12" t="str">
        <f>VLOOKUP(A50,'Cleaned Data'!$A:$S,19,FALSE)</f>
        <v>Pending</v>
      </c>
    </row>
    <row r="51" spans="1:8" x14ac:dyDescent="0.25">
      <c r="A51" s="7" t="s">
        <v>89</v>
      </c>
      <c r="B51" s="12" t="str">
        <f>VLOOKUP(A51,'Cleaned Data'!$A:$S,2,FALSE)</f>
        <v>NAND Flash 3D 128-Layer</v>
      </c>
      <c r="C51" s="12" t="str">
        <f>VLOOKUP(A51,'Cleaned Data'!$A:$S,13,FALSE)</f>
        <v>TRK-99575</v>
      </c>
      <c r="D51" s="12" t="str">
        <f>VLOOKUP(A51,'Cleaned Data'!$A:$S,14,FALSE)</f>
        <v>Nippon Express</v>
      </c>
      <c r="E51" s="12" t="str">
        <f>VLOOKUP(A51,'Cleaned Data'!$A:$S,15,FALSE)</f>
        <v>Asia-Pacific</v>
      </c>
      <c r="F51" s="2" t="s">
        <v>375</v>
      </c>
      <c r="G51" s="12" t="str">
        <f>VLOOKUP(A51,'Cleaned Data'!$A:$S,18,FALSE)</f>
        <v>2026-01-15</v>
      </c>
      <c r="H51" s="12" t="str">
        <f>VLOOKUP(A51,'Cleaned Data'!$A:$S,19,FALSE)</f>
        <v>Delayed at Customs</v>
      </c>
    </row>
    <row r="52" spans="1:8" x14ac:dyDescent="0.25">
      <c r="A52" s="2" t="s">
        <v>53</v>
      </c>
      <c r="B52" s="12" t="str">
        <f>VLOOKUP(A52,'Cleaned Data'!$A:$S,2,FALSE)</f>
        <v>Silicon Wafer 300mm</v>
      </c>
      <c r="C52" s="12" t="str">
        <f>VLOOKUP(A52,'Cleaned Data'!$A:$S,13,FALSE)</f>
        <v>TRK-28391</v>
      </c>
      <c r="D52" s="12" t="str">
        <f>VLOOKUP(A52,'Cleaned Data'!$A:$S,14,FALSE)</f>
        <v>SF Express</v>
      </c>
      <c r="E52" s="12" t="str">
        <f>VLOOKUP(A52,'Cleaned Data'!$A:$S,15,FALSE)</f>
        <v>Asia-Pacific</v>
      </c>
      <c r="F52" s="2" t="s">
        <v>376</v>
      </c>
      <c r="G52" s="12" t="str">
        <f>VLOOKUP(A52,'Cleaned Data'!$A:$S,18,FALSE)</f>
        <v>2026-04-30</v>
      </c>
      <c r="H52" s="12" t="str">
        <f>VLOOKUP(A52,'Cleaned Data'!$A:$S,19,FALSE)</f>
        <v>In Transit</v>
      </c>
    </row>
    <row r="53" spans="1:8" x14ac:dyDescent="0.25">
      <c r="A53" s="7" t="s">
        <v>59</v>
      </c>
      <c r="B53" s="12" t="str">
        <f>VLOOKUP(A53,'Cleaned Data'!$A:$S,2,FALSE)</f>
        <v>GaN Fast Charger IC</v>
      </c>
      <c r="C53" s="12" t="str">
        <f>VLOOKUP(A53,'Cleaned Data'!$A:$S,13,FALSE)</f>
        <v>TRK-82133</v>
      </c>
      <c r="D53" s="12" t="str">
        <f>VLOOKUP(A53,'Cleaned Data'!$A:$S,14,FALSE)</f>
        <v>SF Express</v>
      </c>
      <c r="E53" s="12" t="str">
        <f>VLOOKUP(A53,'Cleaned Data'!$A:$S,15,FALSE)</f>
        <v>Europe</v>
      </c>
      <c r="F53" s="2" t="s">
        <v>378</v>
      </c>
      <c r="G53" s="12" t="str">
        <f>VLOOKUP(A53,'Cleaned Data'!$A:$S,18,FALSE)</f>
        <v>2026-03-02</v>
      </c>
      <c r="H53" s="12" t="str">
        <f>VLOOKUP(A53,'Cleaned Data'!$A:$S,19,FALSE)</f>
        <v>Delivered</v>
      </c>
    </row>
    <row r="54" spans="1:8" x14ac:dyDescent="0.25">
      <c r="A54" s="2" t="s">
        <v>67</v>
      </c>
      <c r="B54" s="12" t="str">
        <f>VLOOKUP(A54,'Cleaned Data'!$A:$S,2,FALSE)</f>
        <v>AI Accelerator GPU</v>
      </c>
      <c r="C54" s="12" t="str">
        <f>VLOOKUP(A54,'Cleaned Data'!$A:$S,13,FALSE)</f>
        <v>TRK-45814</v>
      </c>
      <c r="D54" s="12" t="str">
        <f>VLOOKUP(A54,'Cleaned Data'!$A:$S,14,FALSE)</f>
        <v>DB Schenker</v>
      </c>
      <c r="E54" s="12" t="str">
        <f>VLOOKUP(A54,'Cleaned Data'!$A:$S,15,FALSE)</f>
        <v>Asia-Pacific</v>
      </c>
      <c r="F54" s="2" t="s">
        <v>375</v>
      </c>
      <c r="G54" s="12" t="str">
        <f>VLOOKUP(A54,'Cleaned Data'!$A:$S,18,FALSE)</f>
        <v>2026-03-13</v>
      </c>
      <c r="H54" s="12" t="str">
        <f>VLOOKUP(A54,'Cleaned Data'!$A:$S,19,FALSE)</f>
        <v>Delayed at Customs</v>
      </c>
    </row>
    <row r="55" spans="1:8" x14ac:dyDescent="0.25">
      <c r="A55" s="7" t="s">
        <v>67</v>
      </c>
      <c r="B55" s="12" t="str">
        <f>VLOOKUP(A55,'Cleaned Data'!$A:$S,2,FALSE)</f>
        <v>AI Accelerator GPU</v>
      </c>
      <c r="C55" s="12" t="str">
        <f>VLOOKUP(A55,'Cleaned Data'!$A:$S,13,FALSE)</f>
        <v>TRK-45814</v>
      </c>
      <c r="D55" s="12" t="str">
        <f>VLOOKUP(A55,'Cleaned Data'!$A:$S,14,FALSE)</f>
        <v>DB Schenker</v>
      </c>
      <c r="E55" s="12" t="str">
        <f>VLOOKUP(A55,'Cleaned Data'!$A:$S,15,FALSE)</f>
        <v>Asia-Pacific</v>
      </c>
      <c r="F55" s="2" t="s">
        <v>378</v>
      </c>
      <c r="G55" s="12" t="str">
        <f>VLOOKUP(A55,'Cleaned Data'!$A:$S,18,FALSE)</f>
        <v>2026-03-13</v>
      </c>
      <c r="H55" s="12" t="str">
        <f>VLOOKUP(A55,'Cleaned Data'!$A:$S,19,FALSE)</f>
        <v>Delayed at Customs</v>
      </c>
    </row>
    <row r="56" spans="1:8" x14ac:dyDescent="0.25">
      <c r="A56" s="2" t="s">
        <v>14</v>
      </c>
      <c r="B56" s="12" t="str">
        <f>VLOOKUP(A56,'Cleaned Data'!$A:$S,2,FALSE)</f>
        <v>CMOS Image Sensor (CIS)</v>
      </c>
      <c r="C56" s="12" t="str">
        <f>VLOOKUP(A56,'Cleaned Data'!$A:$S,13,FALSE)</f>
        <v>TRK-73630</v>
      </c>
      <c r="D56" s="12" t="str">
        <f>VLOOKUP(A56,'Cleaned Data'!$A:$S,14,FALSE)</f>
        <v>SF Express</v>
      </c>
      <c r="E56" s="12" t="str">
        <f>VLOOKUP(A56,'Cleaned Data'!$A:$S,15,FALSE)</f>
        <v>Asia-Pacific</v>
      </c>
      <c r="F56" s="2" t="s">
        <v>376</v>
      </c>
      <c r="G56" s="12" t="str">
        <f>VLOOKUP(A56,'Cleaned Data'!$A:$S,18,FALSE)</f>
        <v>2026-02-13</v>
      </c>
      <c r="H56" s="12" t="str">
        <f>VLOOKUP(A56,'Cleaned Data'!$A:$S,19,FALSE)</f>
        <v>Pending</v>
      </c>
    </row>
    <row r="57" spans="1:8" x14ac:dyDescent="0.25">
      <c r="A57" s="7" t="s">
        <v>45</v>
      </c>
      <c r="B57" s="12" t="str">
        <f>VLOOKUP(A57,'Cleaned Data'!$A:$S,2,FALSE)</f>
        <v>IGBT Power Module</v>
      </c>
      <c r="C57" s="12" t="str">
        <f>VLOOKUP(A57,'Cleaned Data'!$A:$S,13,FALSE)</f>
        <v>TRK-99582</v>
      </c>
      <c r="D57" s="12" t="str">
        <f>VLOOKUP(A57,'Cleaned Data'!$A:$S,14,FALSE)</f>
        <v>Maersk Line</v>
      </c>
      <c r="E57" s="12" t="str">
        <f>VLOOKUP(A57,'Cleaned Data'!$A:$S,15,FALSE)</f>
        <v>North America</v>
      </c>
      <c r="F57" s="2" t="s">
        <v>376</v>
      </c>
      <c r="G57" s="12" t="str">
        <f>VLOOKUP(A57,'Cleaned Data'!$A:$S,18,FALSE)</f>
        <v>2026-01-12</v>
      </c>
      <c r="H57" s="12" t="str">
        <f>VLOOKUP(A57,'Cleaned Data'!$A:$S,19,FALSE)</f>
        <v>Delivered</v>
      </c>
    </row>
    <row r="58" spans="1:8" x14ac:dyDescent="0.25">
      <c r="A58" s="2" t="s">
        <v>14</v>
      </c>
      <c r="B58" s="12" t="str">
        <f>VLOOKUP(A58,'Cleaned Data'!$A:$S,2,FALSE)</f>
        <v>CMOS Image Sensor (CIS)</v>
      </c>
      <c r="C58" s="12" t="str">
        <f>VLOOKUP(A58,'Cleaned Data'!$A:$S,13,FALSE)</f>
        <v>TRK-73630</v>
      </c>
      <c r="D58" s="12" t="str">
        <f>VLOOKUP(A58,'Cleaned Data'!$A:$S,14,FALSE)</f>
        <v>SF Express</v>
      </c>
      <c r="E58" s="12" t="str">
        <f>VLOOKUP(A58,'Cleaned Data'!$A:$S,15,FALSE)</f>
        <v>Asia-Pacific</v>
      </c>
      <c r="F58" s="2" t="s">
        <v>376</v>
      </c>
      <c r="G58" s="12" t="str">
        <f>VLOOKUP(A58,'Cleaned Data'!$A:$S,18,FALSE)</f>
        <v>2026-02-13</v>
      </c>
      <c r="H58" s="12" t="str">
        <f>VLOOKUP(A58,'Cleaned Data'!$A:$S,19,FALSE)</f>
        <v>Pending</v>
      </c>
    </row>
    <row r="59" spans="1:8" x14ac:dyDescent="0.25">
      <c r="A59" s="7" t="s">
        <v>106</v>
      </c>
      <c r="B59" s="12" t="str">
        <f>VLOOKUP(A59,'Cleaned Data'!$A:$S,2,FALSE)</f>
        <v>MEMS Pressure Sensor</v>
      </c>
      <c r="C59" s="12" t="str">
        <f>VLOOKUP(A59,'Cleaned Data'!$A:$S,13,FALSE)</f>
        <v>TRK-74078</v>
      </c>
      <c r="D59" s="12" t="str">
        <f>VLOOKUP(A59,'Cleaned Data'!$A:$S,14,FALSE)</f>
        <v>DB Schenker</v>
      </c>
      <c r="E59" s="12" t="str">
        <f>VLOOKUP(A59,'Cleaned Data'!$A:$S,15,FALSE)</f>
        <v>North America</v>
      </c>
      <c r="F59" s="2" t="s">
        <v>376</v>
      </c>
      <c r="G59" s="12" t="str">
        <f>VLOOKUP(A59,'Cleaned Data'!$A:$S,18,FALSE)</f>
        <v>2026-04-29</v>
      </c>
      <c r="H59" s="12" t="str">
        <f>VLOOKUP(A59,'Cleaned Data'!$A:$S,19,FALSE)</f>
        <v>In Transit</v>
      </c>
    </row>
    <row r="60" spans="1:8" x14ac:dyDescent="0.25">
      <c r="A60" s="2" t="s">
        <v>59</v>
      </c>
      <c r="B60" s="12" t="str">
        <f>VLOOKUP(A60,'Cleaned Data'!$A:$S,2,FALSE)</f>
        <v>GaN Fast Charger IC</v>
      </c>
      <c r="C60" s="12" t="str">
        <f>VLOOKUP(A60,'Cleaned Data'!$A:$S,13,FALSE)</f>
        <v>TRK-82133</v>
      </c>
      <c r="D60" s="12" t="str">
        <f>VLOOKUP(A60,'Cleaned Data'!$A:$S,14,FALSE)</f>
        <v>SF Express</v>
      </c>
      <c r="E60" s="12" t="str">
        <f>VLOOKUP(A60,'Cleaned Data'!$A:$S,15,FALSE)</f>
        <v>Europe</v>
      </c>
      <c r="F60" s="2" t="s">
        <v>376</v>
      </c>
      <c r="G60" s="12" t="str">
        <f>VLOOKUP(A60,'Cleaned Data'!$A:$S,18,FALSE)</f>
        <v>2026-03-02</v>
      </c>
      <c r="H60" s="12" t="str">
        <f>VLOOKUP(A60,'Cleaned Data'!$A:$S,19,FALSE)</f>
        <v>Delivered</v>
      </c>
    </row>
    <row r="61" spans="1:8" x14ac:dyDescent="0.25">
      <c r="A61" s="7" t="s">
        <v>14</v>
      </c>
      <c r="B61" s="12" t="str">
        <f>VLOOKUP(A61,'Cleaned Data'!$A:$S,2,FALSE)</f>
        <v>CMOS Image Sensor (CIS)</v>
      </c>
      <c r="C61" s="12" t="str">
        <f>VLOOKUP(A61,'Cleaned Data'!$A:$S,13,FALSE)</f>
        <v>TRK-73630</v>
      </c>
      <c r="D61" s="12" t="str">
        <f>VLOOKUP(A61,'Cleaned Data'!$A:$S,14,FALSE)</f>
        <v>SF Express</v>
      </c>
      <c r="E61" s="12" t="str">
        <f>VLOOKUP(A61,'Cleaned Data'!$A:$S,15,FALSE)</f>
        <v>Asia-Pacific</v>
      </c>
      <c r="F61" s="2" t="s">
        <v>376</v>
      </c>
      <c r="G61" s="12" t="str">
        <f>VLOOKUP(A61,'Cleaned Data'!$A:$S,18,FALSE)</f>
        <v>2026-02-13</v>
      </c>
      <c r="H61" s="12" t="str">
        <f>VLOOKUP(A61,'Cleaned Data'!$A:$S,19,FALSE)</f>
        <v>Pending</v>
      </c>
    </row>
    <row r="62" spans="1:8" x14ac:dyDescent="0.25">
      <c r="A62" s="2" t="s">
        <v>53</v>
      </c>
      <c r="B62" s="12" t="str">
        <f>VLOOKUP(A62,'Cleaned Data'!$A:$S,2,FALSE)</f>
        <v>Silicon Wafer 300mm</v>
      </c>
      <c r="C62" s="12" t="str">
        <f>VLOOKUP(A62,'Cleaned Data'!$A:$S,13,FALSE)</f>
        <v>TRK-28391</v>
      </c>
      <c r="D62" s="12" t="str">
        <f>VLOOKUP(A62,'Cleaned Data'!$A:$S,14,FALSE)</f>
        <v>SF Express</v>
      </c>
      <c r="E62" s="12" t="str">
        <f>VLOOKUP(A62,'Cleaned Data'!$A:$S,15,FALSE)</f>
        <v>Asia-Pacific</v>
      </c>
      <c r="F62" s="2" t="s">
        <v>376</v>
      </c>
      <c r="G62" s="12" t="str">
        <f>VLOOKUP(A62,'Cleaned Data'!$A:$S,18,FALSE)</f>
        <v>2026-04-30</v>
      </c>
      <c r="H62" s="12" t="str">
        <f>VLOOKUP(A62,'Cleaned Data'!$A:$S,19,FALSE)</f>
        <v>In Transit</v>
      </c>
    </row>
    <row r="63" spans="1:8" x14ac:dyDescent="0.25">
      <c r="A63" s="7" t="s">
        <v>23</v>
      </c>
      <c r="B63" s="12" t="str">
        <f>VLOOKUP(A63,'Cleaned Data'!$A:$S,2,FALSE)</f>
        <v>GaAs RF Power Amp</v>
      </c>
      <c r="C63" s="12" t="str">
        <f>VLOOKUP(A63,'Cleaned Data'!$A:$S,13,FALSE)</f>
        <v>TRK-62939</v>
      </c>
      <c r="D63" s="12" t="str">
        <f>VLOOKUP(A63,'Cleaned Data'!$A:$S,14,FALSE)</f>
        <v>DB Schenker</v>
      </c>
      <c r="E63" s="12" t="str">
        <f>VLOOKUP(A63,'Cleaned Data'!$A:$S,15,FALSE)</f>
        <v>Asia-Pacific</v>
      </c>
      <c r="F63" s="2" t="s">
        <v>376</v>
      </c>
      <c r="G63" s="12" t="str">
        <f>VLOOKUP(A63,'Cleaned Data'!$A:$S,18,FALSE)</f>
        <v>2026-01-10</v>
      </c>
      <c r="H63" s="12" t="str">
        <f>VLOOKUP(A63,'Cleaned Data'!$A:$S,19,FALSE)</f>
        <v>Pending</v>
      </c>
    </row>
    <row r="64" spans="1:8" x14ac:dyDescent="0.25">
      <c r="A64" s="2" t="s">
        <v>37</v>
      </c>
      <c r="B64" s="12" t="str">
        <f>VLOOKUP(A64,'Cleaned Data'!$A:$S,2,FALSE)</f>
        <v>Automotive MCU (16-bit)</v>
      </c>
      <c r="C64" s="12" t="str">
        <f>VLOOKUP(A64,'Cleaned Data'!$A:$S,13,FALSE)</f>
        <v>TRK-66595</v>
      </c>
      <c r="D64" s="12" t="str">
        <f>VLOOKUP(A64,'Cleaned Data'!$A:$S,14,FALSE)</f>
        <v>FedEx Cargo</v>
      </c>
      <c r="E64" s="12" t="str">
        <f>VLOOKUP(A64,'Cleaned Data'!$A:$S,15,FALSE)</f>
        <v>Europe</v>
      </c>
      <c r="F64" s="2" t="s">
        <v>376</v>
      </c>
      <c r="G64" s="12" t="str">
        <f>VLOOKUP(A64,'Cleaned Data'!$A:$S,18,FALSE)</f>
        <v>2026-01-10</v>
      </c>
      <c r="H64" s="12" t="str">
        <f>VLOOKUP(A64,'Cleaned Data'!$A:$S,19,FALSE)</f>
        <v>In Transit</v>
      </c>
    </row>
    <row r="65" spans="1:8" x14ac:dyDescent="0.25">
      <c r="A65" s="7" t="s">
        <v>67</v>
      </c>
      <c r="B65" s="12" t="str">
        <f>VLOOKUP(A65,'Cleaned Data'!$A:$S,2,FALSE)</f>
        <v>AI Accelerator GPU</v>
      </c>
      <c r="C65" s="12" t="str">
        <f>VLOOKUP(A65,'Cleaned Data'!$A:$S,13,FALSE)</f>
        <v>TRK-45814</v>
      </c>
      <c r="D65" s="12" t="str">
        <f>VLOOKUP(A65,'Cleaned Data'!$A:$S,14,FALSE)</f>
        <v>DB Schenker</v>
      </c>
      <c r="E65" s="12" t="str">
        <f>VLOOKUP(A65,'Cleaned Data'!$A:$S,15,FALSE)</f>
        <v>Asia-Pacific</v>
      </c>
      <c r="F65" s="2" t="s">
        <v>376</v>
      </c>
      <c r="G65" s="12" t="str">
        <f>VLOOKUP(A65,'Cleaned Data'!$A:$S,18,FALSE)</f>
        <v>2026-03-13</v>
      </c>
      <c r="H65" s="12" t="str">
        <f>VLOOKUP(A65,'Cleaned Data'!$A:$S,19,FALSE)</f>
        <v>Delayed at Customs</v>
      </c>
    </row>
    <row r="66" spans="1:8" x14ac:dyDescent="0.25">
      <c r="A66" s="2" t="s">
        <v>30</v>
      </c>
      <c r="B66" s="12" t="str">
        <f>VLOOKUP(A66,'Cleaned Data'!$A:$S,2,FALSE)</f>
        <v>OLED Display Driver IC</v>
      </c>
      <c r="C66" s="12" t="str">
        <f>VLOOKUP(A66,'Cleaned Data'!$A:$S,13,FALSE)</f>
        <v>TRK-97678</v>
      </c>
      <c r="D66" s="12" t="str">
        <f>VLOOKUP(A66,'Cleaned Data'!$A:$S,14,FALSE)</f>
        <v>DB Schenker</v>
      </c>
      <c r="E66" s="12" t="str">
        <f>VLOOKUP(A66,'Cleaned Data'!$A:$S,15,FALSE)</f>
        <v>North America</v>
      </c>
      <c r="F66" s="2" t="s">
        <v>378</v>
      </c>
      <c r="G66" s="12" t="str">
        <f>VLOOKUP(A66,'Cleaned Data'!$A:$S,18,FALSE)</f>
        <v>2026-04-23</v>
      </c>
      <c r="H66" s="12" t="str">
        <f>VLOOKUP(A66,'Cleaned Data'!$A:$S,19,FALSE)</f>
        <v>Pending</v>
      </c>
    </row>
    <row r="67" spans="1:8" x14ac:dyDescent="0.25">
      <c r="A67" s="7" t="s">
        <v>37</v>
      </c>
      <c r="B67" s="12" t="str">
        <f>VLOOKUP(A67,'Cleaned Data'!$A:$S,2,FALSE)</f>
        <v>Automotive MCU (16-bit)</v>
      </c>
      <c r="C67" s="12" t="str">
        <f>VLOOKUP(A67,'Cleaned Data'!$A:$S,13,FALSE)</f>
        <v>TRK-66595</v>
      </c>
      <c r="D67" s="12" t="str">
        <f>VLOOKUP(A67,'Cleaned Data'!$A:$S,14,FALSE)</f>
        <v>FedEx Cargo</v>
      </c>
      <c r="E67" s="12" t="str">
        <f>VLOOKUP(A67,'Cleaned Data'!$A:$S,15,FALSE)</f>
        <v>Europe</v>
      </c>
      <c r="F67" s="2" t="s">
        <v>378</v>
      </c>
      <c r="G67" s="12" t="str">
        <f>VLOOKUP(A67,'Cleaned Data'!$A:$S,18,FALSE)</f>
        <v>2026-01-10</v>
      </c>
      <c r="H67" s="12" t="str">
        <f>VLOOKUP(A67,'Cleaned Data'!$A:$S,19,FALSE)</f>
        <v>In Transit</v>
      </c>
    </row>
    <row r="68" spans="1:8" x14ac:dyDescent="0.25">
      <c r="A68" s="2" t="s">
        <v>89</v>
      </c>
      <c r="B68" s="12" t="str">
        <f>VLOOKUP(A68,'Cleaned Data'!$A:$S,2,FALSE)</f>
        <v>NAND Flash 3D 128-Layer</v>
      </c>
      <c r="C68" s="12" t="str">
        <f>VLOOKUP(A68,'Cleaned Data'!$A:$S,13,FALSE)</f>
        <v>TRK-99575</v>
      </c>
      <c r="D68" s="12" t="str">
        <f>VLOOKUP(A68,'Cleaned Data'!$A:$S,14,FALSE)</f>
        <v>Nippon Express</v>
      </c>
      <c r="E68" s="12" t="str">
        <f>VLOOKUP(A68,'Cleaned Data'!$A:$S,15,FALSE)</f>
        <v>Asia-Pacific</v>
      </c>
      <c r="F68" s="2" t="s">
        <v>375</v>
      </c>
      <c r="G68" s="12" t="str">
        <f>VLOOKUP(A68,'Cleaned Data'!$A:$S,18,FALSE)</f>
        <v>2026-01-15</v>
      </c>
      <c r="H68" s="12" t="str">
        <f>VLOOKUP(A68,'Cleaned Data'!$A:$S,19,FALSE)</f>
        <v>Delayed at Customs</v>
      </c>
    </row>
    <row r="69" spans="1:8" x14ac:dyDescent="0.25">
      <c r="A69" s="7" t="s">
        <v>89</v>
      </c>
      <c r="B69" s="12" t="str">
        <f>VLOOKUP(A69,'Cleaned Data'!$A:$S,2,FALSE)</f>
        <v>NAND Flash 3D 128-Layer</v>
      </c>
      <c r="C69" s="12" t="str">
        <f>VLOOKUP(A69,'Cleaned Data'!$A:$S,13,FALSE)</f>
        <v>TRK-99575</v>
      </c>
      <c r="D69" s="12" t="str">
        <f>VLOOKUP(A69,'Cleaned Data'!$A:$S,14,FALSE)</f>
        <v>Nippon Express</v>
      </c>
      <c r="E69" s="12" t="str">
        <f>VLOOKUP(A69,'Cleaned Data'!$A:$S,15,FALSE)</f>
        <v>Asia-Pacific</v>
      </c>
      <c r="F69" s="2" t="s">
        <v>378</v>
      </c>
      <c r="G69" s="12" t="str">
        <f>VLOOKUP(A69,'Cleaned Data'!$A:$S,18,FALSE)</f>
        <v>2026-01-15</v>
      </c>
      <c r="H69" s="12" t="str">
        <f>VLOOKUP(A69,'Cleaned Data'!$A:$S,19,FALSE)</f>
        <v>Delayed at Customs</v>
      </c>
    </row>
    <row r="70" spans="1:8" x14ac:dyDescent="0.25">
      <c r="A70" s="2" t="s">
        <v>37</v>
      </c>
      <c r="B70" s="12" t="str">
        <f>VLOOKUP(A70,'Cleaned Data'!$A:$S,2,FALSE)</f>
        <v>Automotive MCU (16-bit)</v>
      </c>
      <c r="C70" s="12" t="str">
        <f>VLOOKUP(A70,'Cleaned Data'!$A:$S,13,FALSE)</f>
        <v>TRK-66595</v>
      </c>
      <c r="D70" s="12" t="str">
        <f>VLOOKUP(A70,'Cleaned Data'!$A:$S,14,FALSE)</f>
        <v>FedEx Cargo</v>
      </c>
      <c r="E70" s="12" t="str">
        <f>VLOOKUP(A70,'Cleaned Data'!$A:$S,15,FALSE)</f>
        <v>Europe</v>
      </c>
      <c r="F70" s="2" t="s">
        <v>376</v>
      </c>
      <c r="G70" s="12" t="str">
        <f>VLOOKUP(A70,'Cleaned Data'!$A:$S,18,FALSE)</f>
        <v>2026-01-10</v>
      </c>
      <c r="H70" s="12" t="str">
        <f>VLOOKUP(A70,'Cleaned Data'!$A:$S,19,FALSE)</f>
        <v>In Transit</v>
      </c>
    </row>
    <row r="71" spans="1:8" x14ac:dyDescent="0.25">
      <c r="A71" s="7" t="s">
        <v>45</v>
      </c>
      <c r="B71" s="12" t="str">
        <f>VLOOKUP(A71,'Cleaned Data'!$A:$S,2,FALSE)</f>
        <v>IGBT Power Module</v>
      </c>
      <c r="C71" s="12" t="str">
        <f>VLOOKUP(A71,'Cleaned Data'!$A:$S,13,FALSE)</f>
        <v>TRK-99582</v>
      </c>
      <c r="D71" s="12" t="str">
        <f>VLOOKUP(A71,'Cleaned Data'!$A:$S,14,FALSE)</f>
        <v>Maersk Line</v>
      </c>
      <c r="E71" s="12" t="str">
        <f>VLOOKUP(A71,'Cleaned Data'!$A:$S,15,FALSE)</f>
        <v>North America</v>
      </c>
      <c r="F71" s="2" t="s">
        <v>376</v>
      </c>
      <c r="G71" s="12" t="str">
        <f>VLOOKUP(A71,'Cleaned Data'!$A:$S,18,FALSE)</f>
        <v>2026-01-12</v>
      </c>
      <c r="H71" s="12" t="str">
        <f>VLOOKUP(A71,'Cleaned Data'!$A:$S,19,FALSE)</f>
        <v>Delivered</v>
      </c>
    </row>
    <row r="72" spans="1:8" x14ac:dyDescent="0.25">
      <c r="A72" s="2" t="s">
        <v>37</v>
      </c>
      <c r="B72" s="12" t="str">
        <f>VLOOKUP(A72,'Cleaned Data'!$A:$S,2,FALSE)</f>
        <v>Automotive MCU (16-bit)</v>
      </c>
      <c r="C72" s="12" t="str">
        <f>VLOOKUP(A72,'Cleaned Data'!$A:$S,13,FALSE)</f>
        <v>TRK-66595</v>
      </c>
      <c r="D72" s="12" t="str">
        <f>VLOOKUP(A72,'Cleaned Data'!$A:$S,14,FALSE)</f>
        <v>FedEx Cargo</v>
      </c>
      <c r="E72" s="12" t="str">
        <f>VLOOKUP(A72,'Cleaned Data'!$A:$S,15,FALSE)</f>
        <v>Europe</v>
      </c>
      <c r="F72" s="2" t="s">
        <v>376</v>
      </c>
      <c r="G72" s="12" t="str">
        <f>VLOOKUP(A72,'Cleaned Data'!$A:$S,18,FALSE)</f>
        <v>2026-01-10</v>
      </c>
      <c r="H72" s="12" t="str">
        <f>VLOOKUP(A72,'Cleaned Data'!$A:$S,19,FALSE)</f>
        <v>In Transit</v>
      </c>
    </row>
    <row r="73" spans="1:8" x14ac:dyDescent="0.25">
      <c r="A73" s="7" t="s">
        <v>37</v>
      </c>
      <c r="B73" s="12" t="str">
        <f>VLOOKUP(A73,'Cleaned Data'!$A:$S,2,FALSE)</f>
        <v>Automotive MCU (16-bit)</v>
      </c>
      <c r="C73" s="12" t="str">
        <f>VLOOKUP(A73,'Cleaned Data'!$A:$S,13,FALSE)</f>
        <v>TRK-66595</v>
      </c>
      <c r="D73" s="12" t="str">
        <f>VLOOKUP(A73,'Cleaned Data'!$A:$S,14,FALSE)</f>
        <v>FedEx Cargo</v>
      </c>
      <c r="E73" s="12" t="str">
        <f>VLOOKUP(A73,'Cleaned Data'!$A:$S,15,FALSE)</f>
        <v>Europe</v>
      </c>
      <c r="F73" s="2" t="s">
        <v>376</v>
      </c>
      <c r="G73" s="12" t="str">
        <f>VLOOKUP(A73,'Cleaned Data'!$A:$S,18,FALSE)</f>
        <v>2026-01-10</v>
      </c>
      <c r="H73" s="12" t="str">
        <f>VLOOKUP(A73,'Cleaned Data'!$A:$S,19,FALSE)</f>
        <v>In Transit</v>
      </c>
    </row>
    <row r="74" spans="1:8" x14ac:dyDescent="0.25">
      <c r="A74" s="2" t="s">
        <v>14</v>
      </c>
      <c r="B74" s="12" t="str">
        <f>VLOOKUP(A74,'Cleaned Data'!$A:$S,2,FALSE)</f>
        <v>CMOS Image Sensor (CIS)</v>
      </c>
      <c r="C74" s="12" t="str">
        <f>VLOOKUP(A74,'Cleaned Data'!$A:$S,13,FALSE)</f>
        <v>TRK-73630</v>
      </c>
      <c r="D74" s="12" t="str">
        <f>VLOOKUP(A74,'Cleaned Data'!$A:$S,14,FALSE)</f>
        <v>SF Express</v>
      </c>
      <c r="E74" s="12" t="str">
        <f>VLOOKUP(A74,'Cleaned Data'!$A:$S,15,FALSE)</f>
        <v>Asia-Pacific</v>
      </c>
      <c r="F74" s="2" t="s">
        <v>376</v>
      </c>
      <c r="G74" s="12" t="str">
        <f>VLOOKUP(A74,'Cleaned Data'!$A:$S,18,FALSE)</f>
        <v>2026-02-13</v>
      </c>
      <c r="H74" s="12" t="str">
        <f>VLOOKUP(A74,'Cleaned Data'!$A:$S,19,FALSE)</f>
        <v>Pending</v>
      </c>
    </row>
    <row r="75" spans="1:8" x14ac:dyDescent="0.25">
      <c r="A75" s="7" t="s">
        <v>45</v>
      </c>
      <c r="B75" s="12" t="str">
        <f>VLOOKUP(A75,'Cleaned Data'!$A:$S,2,FALSE)</f>
        <v>IGBT Power Module</v>
      </c>
      <c r="C75" s="12" t="str">
        <f>VLOOKUP(A75,'Cleaned Data'!$A:$S,13,FALSE)</f>
        <v>TRK-99582</v>
      </c>
      <c r="D75" s="12" t="str">
        <f>VLOOKUP(A75,'Cleaned Data'!$A:$S,14,FALSE)</f>
        <v>Maersk Line</v>
      </c>
      <c r="E75" s="12" t="str">
        <f>VLOOKUP(A75,'Cleaned Data'!$A:$S,15,FALSE)</f>
        <v>North America</v>
      </c>
      <c r="F75" s="2" t="s">
        <v>376</v>
      </c>
      <c r="G75" s="12" t="str">
        <f>VLOOKUP(A75,'Cleaned Data'!$A:$S,18,FALSE)</f>
        <v>2026-01-12</v>
      </c>
      <c r="H75" s="12" t="str">
        <f>VLOOKUP(A75,'Cleaned Data'!$A:$S,19,FALSE)</f>
        <v>Delivered</v>
      </c>
    </row>
    <row r="76" spans="1:8" x14ac:dyDescent="0.25">
      <c r="A76" s="2" t="s">
        <v>45</v>
      </c>
      <c r="B76" s="12" t="str">
        <f>VLOOKUP(A76,'Cleaned Data'!$A:$S,2,FALSE)</f>
        <v>IGBT Power Module</v>
      </c>
      <c r="C76" s="12" t="str">
        <f>VLOOKUP(A76,'Cleaned Data'!$A:$S,13,FALSE)</f>
        <v>TRK-99582</v>
      </c>
      <c r="D76" s="12" t="str">
        <f>VLOOKUP(A76,'Cleaned Data'!$A:$S,14,FALSE)</f>
        <v>Maersk Line</v>
      </c>
      <c r="E76" s="12" t="str">
        <f>VLOOKUP(A76,'Cleaned Data'!$A:$S,15,FALSE)</f>
        <v>North America</v>
      </c>
      <c r="F76" s="2" t="s">
        <v>376</v>
      </c>
      <c r="G76" s="12" t="str">
        <f>VLOOKUP(A76,'Cleaned Data'!$A:$S,18,FALSE)</f>
        <v>2026-01-12</v>
      </c>
      <c r="H76" s="12" t="str">
        <f>VLOOKUP(A76,'Cleaned Data'!$A:$S,19,FALSE)</f>
        <v>Delivered</v>
      </c>
    </row>
    <row r="77" spans="1:8" x14ac:dyDescent="0.25">
      <c r="A77" s="7" t="s">
        <v>14</v>
      </c>
      <c r="B77" s="12" t="str">
        <f>VLOOKUP(A77,'Cleaned Data'!$A:$S,2,FALSE)</f>
        <v>CMOS Image Sensor (CIS)</v>
      </c>
      <c r="C77" s="12" t="str">
        <f>VLOOKUP(A77,'Cleaned Data'!$A:$S,13,FALSE)</f>
        <v>TRK-73630</v>
      </c>
      <c r="D77" s="12" t="str">
        <f>VLOOKUP(A77,'Cleaned Data'!$A:$S,14,FALSE)</f>
        <v>SF Express</v>
      </c>
      <c r="E77" s="12" t="str">
        <f>VLOOKUP(A77,'Cleaned Data'!$A:$S,15,FALSE)</f>
        <v>Asia-Pacific</v>
      </c>
      <c r="F77" s="2" t="s">
        <v>378</v>
      </c>
      <c r="G77" s="12" t="str">
        <f>VLOOKUP(A77,'Cleaned Data'!$A:$S,18,FALSE)</f>
        <v>2026-02-13</v>
      </c>
      <c r="H77" s="12" t="str">
        <f>VLOOKUP(A77,'Cleaned Data'!$A:$S,19,FALSE)</f>
        <v>Pending</v>
      </c>
    </row>
    <row r="78" spans="1:8" x14ac:dyDescent="0.25">
      <c r="A78" s="2" t="s">
        <v>106</v>
      </c>
      <c r="B78" s="12" t="str">
        <f>VLOOKUP(A78,'Cleaned Data'!$A:$S,2,FALSE)</f>
        <v>MEMS Pressure Sensor</v>
      </c>
      <c r="C78" s="12" t="str">
        <f>VLOOKUP(A78,'Cleaned Data'!$A:$S,13,FALSE)</f>
        <v>TRK-74078</v>
      </c>
      <c r="D78" s="12" t="str">
        <f>VLOOKUP(A78,'Cleaned Data'!$A:$S,14,FALSE)</f>
        <v>DB Schenker</v>
      </c>
      <c r="E78" s="12" t="str">
        <f>VLOOKUP(A78,'Cleaned Data'!$A:$S,15,FALSE)</f>
        <v>North America</v>
      </c>
      <c r="F78" s="2" t="s">
        <v>376</v>
      </c>
      <c r="G78" s="12" t="str">
        <f>VLOOKUP(A78,'Cleaned Data'!$A:$S,18,FALSE)</f>
        <v>2026-04-29</v>
      </c>
      <c r="H78" s="12" t="str">
        <f>VLOOKUP(A78,'Cleaned Data'!$A:$S,19,FALSE)</f>
        <v>In Transit</v>
      </c>
    </row>
    <row r="79" spans="1:8" x14ac:dyDescent="0.25">
      <c r="A79" s="7" t="s">
        <v>14</v>
      </c>
      <c r="B79" s="12" t="str">
        <f>VLOOKUP(A79,'Cleaned Data'!$A:$S,2,FALSE)</f>
        <v>CMOS Image Sensor (CIS)</v>
      </c>
      <c r="C79" s="12" t="str">
        <f>VLOOKUP(A79,'Cleaned Data'!$A:$S,13,FALSE)</f>
        <v>TRK-73630</v>
      </c>
      <c r="D79" s="12" t="str">
        <f>VLOOKUP(A79,'Cleaned Data'!$A:$S,14,FALSE)</f>
        <v>SF Express</v>
      </c>
      <c r="E79" s="12" t="str">
        <f>VLOOKUP(A79,'Cleaned Data'!$A:$S,15,FALSE)</f>
        <v>Asia-Pacific</v>
      </c>
      <c r="F79" s="2" t="s">
        <v>375</v>
      </c>
      <c r="G79" s="12" t="str">
        <f>VLOOKUP(A79,'Cleaned Data'!$A:$S,18,FALSE)</f>
        <v>2026-02-13</v>
      </c>
      <c r="H79" s="12" t="str">
        <f>VLOOKUP(A79,'Cleaned Data'!$A:$S,19,FALSE)</f>
        <v>Pending</v>
      </c>
    </row>
    <row r="80" spans="1:8" x14ac:dyDescent="0.25">
      <c r="A80" s="2" t="s">
        <v>89</v>
      </c>
      <c r="B80" s="12" t="str">
        <f>VLOOKUP(A80,'Cleaned Data'!$A:$S,2,FALSE)</f>
        <v>NAND Flash 3D 128-Layer</v>
      </c>
      <c r="C80" s="12" t="str">
        <f>VLOOKUP(A80,'Cleaned Data'!$A:$S,13,FALSE)</f>
        <v>TRK-99575</v>
      </c>
      <c r="D80" s="12" t="str">
        <f>VLOOKUP(A80,'Cleaned Data'!$A:$S,14,FALSE)</f>
        <v>Nippon Express</v>
      </c>
      <c r="E80" s="12" t="str">
        <f>VLOOKUP(A80,'Cleaned Data'!$A:$S,15,FALSE)</f>
        <v>Asia-Pacific</v>
      </c>
      <c r="F80" s="2" t="s">
        <v>376</v>
      </c>
      <c r="G80" s="12" t="str">
        <f>VLOOKUP(A80,'Cleaned Data'!$A:$S,18,FALSE)</f>
        <v>2026-01-15</v>
      </c>
      <c r="H80" s="12" t="str">
        <f>VLOOKUP(A80,'Cleaned Data'!$A:$S,19,FALSE)</f>
        <v>Delayed at Customs</v>
      </c>
    </row>
    <row r="81" spans="1:8" x14ac:dyDescent="0.25">
      <c r="A81" s="7" t="s">
        <v>37</v>
      </c>
      <c r="B81" s="12" t="str">
        <f>VLOOKUP(A81,'Cleaned Data'!$A:$S,2,FALSE)</f>
        <v>Automotive MCU (16-bit)</v>
      </c>
      <c r="C81" s="12" t="str">
        <f>VLOOKUP(A81,'Cleaned Data'!$A:$S,13,FALSE)</f>
        <v>TRK-66595</v>
      </c>
      <c r="D81" s="12" t="str">
        <f>VLOOKUP(A81,'Cleaned Data'!$A:$S,14,FALSE)</f>
        <v>FedEx Cargo</v>
      </c>
      <c r="E81" s="12" t="str">
        <f>VLOOKUP(A81,'Cleaned Data'!$A:$S,15,FALSE)</f>
        <v>Europe</v>
      </c>
      <c r="F81" s="2" t="s">
        <v>378</v>
      </c>
      <c r="G81" s="12" t="str">
        <f>VLOOKUP(A81,'Cleaned Data'!$A:$S,18,FALSE)</f>
        <v>2026-01-10</v>
      </c>
      <c r="H81" s="12" t="str">
        <f>VLOOKUP(A81,'Cleaned Data'!$A:$S,19,FALSE)</f>
        <v>In Transit</v>
      </c>
    </row>
    <row r="82" spans="1:8" x14ac:dyDescent="0.25">
      <c r="A82" s="2" t="s">
        <v>53</v>
      </c>
      <c r="B82" s="12" t="str">
        <f>VLOOKUP(A82,'Cleaned Data'!$A:$S,2,FALSE)</f>
        <v>Silicon Wafer 300mm</v>
      </c>
      <c r="C82" s="12" t="str">
        <f>VLOOKUP(A82,'Cleaned Data'!$A:$S,13,FALSE)</f>
        <v>TRK-28391</v>
      </c>
      <c r="D82" s="12" t="str">
        <f>VLOOKUP(A82,'Cleaned Data'!$A:$S,14,FALSE)</f>
        <v>SF Express</v>
      </c>
      <c r="E82" s="12" t="str">
        <f>VLOOKUP(A82,'Cleaned Data'!$A:$S,15,FALSE)</f>
        <v>Asia-Pacific</v>
      </c>
      <c r="F82" s="2" t="s">
        <v>378</v>
      </c>
      <c r="G82" s="12" t="str">
        <f>VLOOKUP(A82,'Cleaned Data'!$A:$S,18,FALSE)</f>
        <v>2026-04-30</v>
      </c>
      <c r="H82" s="12" t="str">
        <f>VLOOKUP(A82,'Cleaned Data'!$A:$S,19,FALSE)</f>
        <v>In Transit</v>
      </c>
    </row>
    <row r="83" spans="1:8" x14ac:dyDescent="0.25">
      <c r="A83" s="7" t="s">
        <v>89</v>
      </c>
      <c r="B83" s="12" t="str">
        <f>VLOOKUP(A83,'Cleaned Data'!$A:$S,2,FALSE)</f>
        <v>NAND Flash 3D 128-Layer</v>
      </c>
      <c r="C83" s="12" t="str">
        <f>VLOOKUP(A83,'Cleaned Data'!$A:$S,13,FALSE)</f>
        <v>TRK-99575</v>
      </c>
      <c r="D83" s="12" t="str">
        <f>VLOOKUP(A83,'Cleaned Data'!$A:$S,14,FALSE)</f>
        <v>Nippon Express</v>
      </c>
      <c r="E83" s="12" t="str">
        <f>VLOOKUP(A83,'Cleaned Data'!$A:$S,15,FALSE)</f>
        <v>Asia-Pacific</v>
      </c>
      <c r="F83" s="2" t="s">
        <v>376</v>
      </c>
      <c r="G83" s="12" t="str">
        <f>VLOOKUP(A83,'Cleaned Data'!$A:$S,18,FALSE)</f>
        <v>2026-01-15</v>
      </c>
      <c r="H83" s="12" t="str">
        <f>VLOOKUP(A83,'Cleaned Data'!$A:$S,19,FALSE)</f>
        <v>Delayed at Customs</v>
      </c>
    </row>
    <row r="84" spans="1:8" x14ac:dyDescent="0.25">
      <c r="A84" s="2" t="s">
        <v>67</v>
      </c>
      <c r="B84" s="12" t="str">
        <f>VLOOKUP(A84,'Cleaned Data'!$A:$S,2,FALSE)</f>
        <v>AI Accelerator GPU</v>
      </c>
      <c r="C84" s="12" t="str">
        <f>VLOOKUP(A84,'Cleaned Data'!$A:$S,13,FALSE)</f>
        <v>TRK-45814</v>
      </c>
      <c r="D84" s="12" t="str">
        <f>VLOOKUP(A84,'Cleaned Data'!$A:$S,14,FALSE)</f>
        <v>DB Schenker</v>
      </c>
      <c r="E84" s="12" t="str">
        <f>VLOOKUP(A84,'Cleaned Data'!$A:$S,15,FALSE)</f>
        <v>Asia-Pacific</v>
      </c>
      <c r="F84" s="2" t="s">
        <v>375</v>
      </c>
      <c r="G84" s="12" t="str">
        <f>VLOOKUP(A84,'Cleaned Data'!$A:$S,18,FALSE)</f>
        <v>2026-03-13</v>
      </c>
      <c r="H84" s="12" t="str">
        <f>VLOOKUP(A84,'Cleaned Data'!$A:$S,19,FALSE)</f>
        <v>Delayed at Customs</v>
      </c>
    </row>
    <row r="85" spans="1:8" x14ac:dyDescent="0.25">
      <c r="A85" s="7" t="s">
        <v>106</v>
      </c>
      <c r="B85" s="12" t="str">
        <f>VLOOKUP(A85,'Cleaned Data'!$A:$S,2,FALSE)</f>
        <v>MEMS Pressure Sensor</v>
      </c>
      <c r="C85" s="12" t="str">
        <f>VLOOKUP(A85,'Cleaned Data'!$A:$S,13,FALSE)</f>
        <v>TRK-74078</v>
      </c>
      <c r="D85" s="12" t="str">
        <f>VLOOKUP(A85,'Cleaned Data'!$A:$S,14,FALSE)</f>
        <v>DB Schenker</v>
      </c>
      <c r="E85" s="12" t="str">
        <f>VLOOKUP(A85,'Cleaned Data'!$A:$S,15,FALSE)</f>
        <v>North America</v>
      </c>
      <c r="F85" s="2" t="s">
        <v>378</v>
      </c>
      <c r="G85" s="12" t="str">
        <f>VLOOKUP(A85,'Cleaned Data'!$A:$S,18,FALSE)</f>
        <v>2026-04-29</v>
      </c>
      <c r="H85" s="12" t="str">
        <f>VLOOKUP(A85,'Cleaned Data'!$A:$S,19,FALSE)</f>
        <v>In Transit</v>
      </c>
    </row>
    <row r="86" spans="1:8" x14ac:dyDescent="0.25">
      <c r="A86" s="2" t="s">
        <v>23</v>
      </c>
      <c r="B86" s="12" t="str">
        <f>VLOOKUP(A86,'Cleaned Data'!$A:$S,2,FALSE)</f>
        <v>GaAs RF Power Amp</v>
      </c>
      <c r="C86" s="12" t="str">
        <f>VLOOKUP(A86,'Cleaned Data'!$A:$S,13,FALSE)</f>
        <v>TRK-62939</v>
      </c>
      <c r="D86" s="12" t="str">
        <f>VLOOKUP(A86,'Cleaned Data'!$A:$S,14,FALSE)</f>
        <v>DB Schenker</v>
      </c>
      <c r="E86" s="12" t="str">
        <f>VLOOKUP(A86,'Cleaned Data'!$A:$S,15,FALSE)</f>
        <v>Asia-Pacific</v>
      </c>
      <c r="F86" s="2" t="s">
        <v>376</v>
      </c>
      <c r="G86" s="12" t="str">
        <f>VLOOKUP(A86,'Cleaned Data'!$A:$S,18,FALSE)</f>
        <v>2026-01-10</v>
      </c>
      <c r="H86" s="12" t="str">
        <f>VLOOKUP(A86,'Cleaned Data'!$A:$S,19,FALSE)</f>
        <v>Pending</v>
      </c>
    </row>
    <row r="87" spans="1:8" x14ac:dyDescent="0.25">
      <c r="A87" s="7" t="s">
        <v>30</v>
      </c>
      <c r="B87" s="12" t="str">
        <f>VLOOKUP(A87,'Cleaned Data'!$A:$S,2,FALSE)</f>
        <v>OLED Display Driver IC</v>
      </c>
      <c r="C87" s="12" t="str">
        <f>VLOOKUP(A87,'Cleaned Data'!$A:$S,13,FALSE)</f>
        <v>TRK-97678</v>
      </c>
      <c r="D87" s="12" t="str">
        <f>VLOOKUP(A87,'Cleaned Data'!$A:$S,14,FALSE)</f>
        <v>DB Schenker</v>
      </c>
      <c r="E87" s="12" t="str">
        <f>VLOOKUP(A87,'Cleaned Data'!$A:$S,15,FALSE)</f>
        <v>North America</v>
      </c>
      <c r="F87" s="2" t="s">
        <v>376</v>
      </c>
      <c r="G87" s="12" t="str">
        <f>VLOOKUP(A87,'Cleaned Data'!$A:$S,18,FALSE)</f>
        <v>2026-04-23</v>
      </c>
      <c r="H87" s="12" t="str">
        <f>VLOOKUP(A87,'Cleaned Data'!$A:$S,19,FALSE)</f>
        <v>Pending</v>
      </c>
    </row>
    <row r="88" spans="1:8" x14ac:dyDescent="0.25">
      <c r="A88" s="2" t="s">
        <v>53</v>
      </c>
      <c r="B88" s="12" t="str">
        <f>VLOOKUP(A88,'Cleaned Data'!$A:$S,2,FALSE)</f>
        <v>Silicon Wafer 300mm</v>
      </c>
      <c r="C88" s="12" t="str">
        <f>VLOOKUP(A88,'Cleaned Data'!$A:$S,13,FALSE)</f>
        <v>TRK-28391</v>
      </c>
      <c r="D88" s="12" t="str">
        <f>VLOOKUP(A88,'Cleaned Data'!$A:$S,14,FALSE)</f>
        <v>SF Express</v>
      </c>
      <c r="E88" s="12" t="str">
        <f>VLOOKUP(A88,'Cleaned Data'!$A:$S,15,FALSE)</f>
        <v>Asia-Pacific</v>
      </c>
      <c r="F88" s="2" t="s">
        <v>376</v>
      </c>
      <c r="G88" s="12" t="str">
        <f>VLOOKUP(A88,'Cleaned Data'!$A:$S,18,FALSE)</f>
        <v>2026-04-30</v>
      </c>
      <c r="H88" s="12" t="str">
        <f>VLOOKUP(A88,'Cleaned Data'!$A:$S,19,FALSE)</f>
        <v>In Transit</v>
      </c>
    </row>
    <row r="89" spans="1:8" x14ac:dyDescent="0.25">
      <c r="A89" s="7" t="s">
        <v>30</v>
      </c>
      <c r="B89" s="12" t="str">
        <f>VLOOKUP(A89,'Cleaned Data'!$A:$S,2,FALSE)</f>
        <v>OLED Display Driver IC</v>
      </c>
      <c r="C89" s="12" t="str">
        <f>VLOOKUP(A89,'Cleaned Data'!$A:$S,13,FALSE)</f>
        <v>TRK-97678</v>
      </c>
      <c r="D89" s="12" t="str">
        <f>VLOOKUP(A89,'Cleaned Data'!$A:$S,14,FALSE)</f>
        <v>DB Schenker</v>
      </c>
      <c r="E89" s="12" t="str">
        <f>VLOOKUP(A89,'Cleaned Data'!$A:$S,15,FALSE)</f>
        <v>North America</v>
      </c>
      <c r="F89" s="2" t="s">
        <v>376</v>
      </c>
      <c r="G89" s="12" t="str">
        <f>VLOOKUP(A89,'Cleaned Data'!$A:$S,18,FALSE)</f>
        <v>2026-04-23</v>
      </c>
      <c r="H89" s="12" t="str">
        <f>VLOOKUP(A89,'Cleaned Data'!$A:$S,19,FALSE)</f>
        <v>Pending</v>
      </c>
    </row>
    <row r="90" spans="1:8" x14ac:dyDescent="0.25">
      <c r="A90" s="2" t="s">
        <v>67</v>
      </c>
      <c r="B90" s="12" t="str">
        <f>VLOOKUP(A90,'Cleaned Data'!$A:$S,2,FALSE)</f>
        <v>AI Accelerator GPU</v>
      </c>
      <c r="C90" s="12" t="str">
        <f>VLOOKUP(A90,'Cleaned Data'!$A:$S,13,FALSE)</f>
        <v>TRK-45814</v>
      </c>
      <c r="D90" s="12" t="str">
        <f>VLOOKUP(A90,'Cleaned Data'!$A:$S,14,FALSE)</f>
        <v>DB Schenker</v>
      </c>
      <c r="E90" s="12" t="str">
        <f>VLOOKUP(A90,'Cleaned Data'!$A:$S,15,FALSE)</f>
        <v>Asia-Pacific</v>
      </c>
      <c r="F90" s="2" t="s">
        <v>378</v>
      </c>
      <c r="G90" s="12" t="str">
        <f>VLOOKUP(A90,'Cleaned Data'!$A:$S,18,FALSE)</f>
        <v>2026-03-13</v>
      </c>
      <c r="H90" s="12" t="str">
        <f>VLOOKUP(A90,'Cleaned Data'!$A:$S,19,FALSE)</f>
        <v>Delayed at Customs</v>
      </c>
    </row>
    <row r="91" spans="1:8" x14ac:dyDescent="0.25">
      <c r="A91" s="7" t="s">
        <v>89</v>
      </c>
      <c r="B91" s="12" t="str">
        <f>VLOOKUP(A91,'Cleaned Data'!$A:$S,2,FALSE)</f>
        <v>NAND Flash 3D 128-Layer</v>
      </c>
      <c r="C91" s="12" t="str">
        <f>VLOOKUP(A91,'Cleaned Data'!$A:$S,13,FALSE)</f>
        <v>TRK-99575</v>
      </c>
      <c r="D91" s="12" t="str">
        <f>VLOOKUP(A91,'Cleaned Data'!$A:$S,14,FALSE)</f>
        <v>Nippon Express</v>
      </c>
      <c r="E91" s="12" t="str">
        <f>VLOOKUP(A91,'Cleaned Data'!$A:$S,15,FALSE)</f>
        <v>Asia-Pacific</v>
      </c>
      <c r="F91" s="2" t="s">
        <v>376</v>
      </c>
      <c r="G91" s="12" t="str">
        <f>VLOOKUP(A91,'Cleaned Data'!$A:$S,18,FALSE)</f>
        <v>2026-01-15</v>
      </c>
      <c r="H91" s="12" t="str">
        <f>VLOOKUP(A91,'Cleaned Data'!$A:$S,19,FALSE)</f>
        <v>Delayed at Customs</v>
      </c>
    </row>
    <row r="92" spans="1:8" x14ac:dyDescent="0.25">
      <c r="A92" s="2" t="s">
        <v>45</v>
      </c>
      <c r="B92" s="12" t="str">
        <f>VLOOKUP(A92,'Cleaned Data'!$A:$S,2,FALSE)</f>
        <v>IGBT Power Module</v>
      </c>
      <c r="C92" s="12" t="str">
        <f>VLOOKUP(A92,'Cleaned Data'!$A:$S,13,FALSE)</f>
        <v>TRK-99582</v>
      </c>
      <c r="D92" s="12" t="str">
        <f>VLOOKUP(A92,'Cleaned Data'!$A:$S,14,FALSE)</f>
        <v>Maersk Line</v>
      </c>
      <c r="E92" s="12" t="str">
        <f>VLOOKUP(A92,'Cleaned Data'!$A:$S,15,FALSE)</f>
        <v>North America</v>
      </c>
      <c r="F92" s="2" t="s">
        <v>376</v>
      </c>
      <c r="G92" s="12" t="str">
        <f>VLOOKUP(A92,'Cleaned Data'!$A:$S,18,FALSE)</f>
        <v>2026-01-12</v>
      </c>
      <c r="H92" s="12" t="str">
        <f>VLOOKUP(A92,'Cleaned Data'!$A:$S,19,FALSE)</f>
        <v>Delivered</v>
      </c>
    </row>
    <row r="93" spans="1:8" x14ac:dyDescent="0.25">
      <c r="A93" s="7" t="s">
        <v>67</v>
      </c>
      <c r="B93" s="12" t="str">
        <f>VLOOKUP(A93,'Cleaned Data'!$A:$S,2,FALSE)</f>
        <v>AI Accelerator GPU</v>
      </c>
      <c r="C93" s="12" t="str">
        <f>VLOOKUP(A93,'Cleaned Data'!$A:$S,13,FALSE)</f>
        <v>TRK-45814</v>
      </c>
      <c r="D93" s="12" t="str">
        <f>VLOOKUP(A93,'Cleaned Data'!$A:$S,14,FALSE)</f>
        <v>DB Schenker</v>
      </c>
      <c r="E93" s="12" t="str">
        <f>VLOOKUP(A93,'Cleaned Data'!$A:$S,15,FALSE)</f>
        <v>Asia-Pacific</v>
      </c>
      <c r="F93" s="2" t="s">
        <v>376</v>
      </c>
      <c r="G93" s="12" t="str">
        <f>VLOOKUP(A93,'Cleaned Data'!$A:$S,18,FALSE)</f>
        <v>2026-03-13</v>
      </c>
      <c r="H93" s="12" t="str">
        <f>VLOOKUP(A93,'Cleaned Data'!$A:$S,19,FALSE)</f>
        <v>Delayed at Customs</v>
      </c>
    </row>
    <row r="94" spans="1:8" x14ac:dyDescent="0.25">
      <c r="A94" s="2" t="s">
        <v>59</v>
      </c>
      <c r="B94" s="12" t="str">
        <f>VLOOKUP(A94,'Cleaned Data'!$A:$S,2,FALSE)</f>
        <v>GaN Fast Charger IC</v>
      </c>
      <c r="C94" s="12" t="str">
        <f>VLOOKUP(A94,'Cleaned Data'!$A:$S,13,FALSE)</f>
        <v>TRK-82133</v>
      </c>
      <c r="D94" s="12" t="str">
        <f>VLOOKUP(A94,'Cleaned Data'!$A:$S,14,FALSE)</f>
        <v>SF Express</v>
      </c>
      <c r="E94" s="12" t="str">
        <f>VLOOKUP(A94,'Cleaned Data'!$A:$S,15,FALSE)</f>
        <v>Europe</v>
      </c>
      <c r="F94" s="2" t="s">
        <v>376</v>
      </c>
      <c r="G94" s="12" t="str">
        <f>VLOOKUP(A94,'Cleaned Data'!$A:$S,18,FALSE)</f>
        <v>2026-03-02</v>
      </c>
      <c r="H94" s="12" t="str">
        <f>VLOOKUP(A94,'Cleaned Data'!$A:$S,19,FALSE)</f>
        <v>Delivered</v>
      </c>
    </row>
    <row r="95" spans="1:8" x14ac:dyDescent="0.25">
      <c r="A95" s="7" t="s">
        <v>53</v>
      </c>
      <c r="B95" s="12" t="str">
        <f>VLOOKUP(A95,'Cleaned Data'!$A:$S,2,FALSE)</f>
        <v>Silicon Wafer 300mm</v>
      </c>
      <c r="C95" s="12" t="str">
        <f>VLOOKUP(A95,'Cleaned Data'!$A:$S,13,FALSE)</f>
        <v>TRK-28391</v>
      </c>
      <c r="D95" s="12" t="str">
        <f>VLOOKUP(A95,'Cleaned Data'!$A:$S,14,FALSE)</f>
        <v>SF Express</v>
      </c>
      <c r="E95" s="12" t="str">
        <f>VLOOKUP(A95,'Cleaned Data'!$A:$S,15,FALSE)</f>
        <v>Asia-Pacific</v>
      </c>
      <c r="F95" s="2" t="s">
        <v>376</v>
      </c>
      <c r="G95" s="12" t="str">
        <f>VLOOKUP(A95,'Cleaned Data'!$A:$S,18,FALSE)</f>
        <v>2026-04-30</v>
      </c>
      <c r="H95" s="12" t="str">
        <f>VLOOKUP(A95,'Cleaned Data'!$A:$S,19,FALSE)</f>
        <v>In Transit</v>
      </c>
    </row>
    <row r="96" spans="1:8" x14ac:dyDescent="0.25">
      <c r="A96" s="2" t="s">
        <v>37</v>
      </c>
      <c r="B96" s="12" t="str">
        <f>VLOOKUP(A96,'Cleaned Data'!$A:$S,2,FALSE)</f>
        <v>Automotive MCU (16-bit)</v>
      </c>
      <c r="C96" s="12" t="str">
        <f>VLOOKUP(A96,'Cleaned Data'!$A:$S,13,FALSE)</f>
        <v>TRK-66595</v>
      </c>
      <c r="D96" s="12" t="str">
        <f>VLOOKUP(A96,'Cleaned Data'!$A:$S,14,FALSE)</f>
        <v>FedEx Cargo</v>
      </c>
      <c r="E96" s="12" t="str">
        <f>VLOOKUP(A96,'Cleaned Data'!$A:$S,15,FALSE)</f>
        <v>Europe</v>
      </c>
      <c r="F96" s="2" t="s">
        <v>376</v>
      </c>
      <c r="G96" s="12" t="str">
        <f>VLOOKUP(A96,'Cleaned Data'!$A:$S,18,FALSE)</f>
        <v>2026-01-10</v>
      </c>
      <c r="H96" s="12" t="str">
        <f>VLOOKUP(A96,'Cleaned Data'!$A:$S,19,FALSE)</f>
        <v>In Transit</v>
      </c>
    </row>
    <row r="97" spans="1:8" x14ac:dyDescent="0.25">
      <c r="A97" s="7" t="s">
        <v>23</v>
      </c>
      <c r="B97" s="12" t="str">
        <f>VLOOKUP(A97,'Cleaned Data'!$A:$S,2,FALSE)</f>
        <v>GaAs RF Power Amp</v>
      </c>
      <c r="C97" s="12" t="str">
        <f>VLOOKUP(A97,'Cleaned Data'!$A:$S,13,FALSE)</f>
        <v>TRK-62939</v>
      </c>
      <c r="D97" s="12" t="str">
        <f>VLOOKUP(A97,'Cleaned Data'!$A:$S,14,FALSE)</f>
        <v>DB Schenker</v>
      </c>
      <c r="E97" s="12" t="str">
        <f>VLOOKUP(A97,'Cleaned Data'!$A:$S,15,FALSE)</f>
        <v>Asia-Pacific</v>
      </c>
      <c r="F97" s="2" t="s">
        <v>376</v>
      </c>
      <c r="G97" s="12" t="str">
        <f>VLOOKUP(A97,'Cleaned Data'!$A:$S,18,FALSE)</f>
        <v>2026-01-10</v>
      </c>
      <c r="H97" s="12" t="str">
        <f>VLOOKUP(A97,'Cleaned Data'!$A:$S,19,FALSE)</f>
        <v>Pending</v>
      </c>
    </row>
    <row r="98" spans="1:8" x14ac:dyDescent="0.25">
      <c r="A98" s="2" t="s">
        <v>45</v>
      </c>
      <c r="B98" s="12" t="str">
        <f>VLOOKUP(A98,'Cleaned Data'!$A:$S,2,FALSE)</f>
        <v>IGBT Power Module</v>
      </c>
      <c r="C98" s="12" t="str">
        <f>VLOOKUP(A98,'Cleaned Data'!$A:$S,13,FALSE)</f>
        <v>TRK-99582</v>
      </c>
      <c r="D98" s="12" t="str">
        <f>VLOOKUP(A98,'Cleaned Data'!$A:$S,14,FALSE)</f>
        <v>Maersk Line</v>
      </c>
      <c r="E98" s="12" t="str">
        <f>VLOOKUP(A98,'Cleaned Data'!$A:$S,15,FALSE)</f>
        <v>North America</v>
      </c>
      <c r="F98" s="2" t="s">
        <v>378</v>
      </c>
      <c r="G98" s="12" t="str">
        <f>VLOOKUP(A98,'Cleaned Data'!$A:$S,18,FALSE)</f>
        <v>2026-01-12</v>
      </c>
      <c r="H98" s="12" t="str">
        <f>VLOOKUP(A98,'Cleaned Data'!$A:$S,19,FALSE)</f>
        <v>Delivered</v>
      </c>
    </row>
    <row r="99" spans="1:8" x14ac:dyDescent="0.25">
      <c r="A99" s="7" t="s">
        <v>37</v>
      </c>
      <c r="B99" s="12" t="str">
        <f>VLOOKUP(A99,'Cleaned Data'!$A:$S,2,FALSE)</f>
        <v>Automotive MCU (16-bit)</v>
      </c>
      <c r="C99" s="12" t="str">
        <f>VLOOKUP(A99,'Cleaned Data'!$A:$S,13,FALSE)</f>
        <v>TRK-66595</v>
      </c>
      <c r="D99" s="12" t="str">
        <f>VLOOKUP(A99,'Cleaned Data'!$A:$S,14,FALSE)</f>
        <v>FedEx Cargo</v>
      </c>
      <c r="E99" s="12" t="str">
        <f>VLOOKUP(A99,'Cleaned Data'!$A:$S,15,FALSE)</f>
        <v>Europe</v>
      </c>
      <c r="F99" s="2" t="s">
        <v>378</v>
      </c>
      <c r="G99" s="12" t="str">
        <f>VLOOKUP(A99,'Cleaned Data'!$A:$S,18,FALSE)</f>
        <v>2026-01-10</v>
      </c>
      <c r="H99" s="12" t="str">
        <f>VLOOKUP(A99,'Cleaned Data'!$A:$S,19,FALSE)</f>
        <v>In Transit</v>
      </c>
    </row>
    <row r="100" spans="1:8" x14ac:dyDescent="0.25">
      <c r="A100" s="2" t="s">
        <v>53</v>
      </c>
      <c r="B100" s="12" t="str">
        <f>VLOOKUP(A100,'Cleaned Data'!$A:$S,2,FALSE)</f>
        <v>Silicon Wafer 300mm</v>
      </c>
      <c r="C100" s="12" t="str">
        <f>VLOOKUP(A100,'Cleaned Data'!$A:$S,13,FALSE)</f>
        <v>TRK-28391</v>
      </c>
      <c r="D100" s="12" t="str">
        <f>VLOOKUP(A100,'Cleaned Data'!$A:$S,14,FALSE)</f>
        <v>SF Express</v>
      </c>
      <c r="E100" s="12" t="str">
        <f>VLOOKUP(A100,'Cleaned Data'!$A:$S,15,FALSE)</f>
        <v>Asia-Pacific</v>
      </c>
      <c r="F100" s="2" t="s">
        <v>378</v>
      </c>
      <c r="G100" s="12" t="str">
        <f>VLOOKUP(A100,'Cleaned Data'!$A:$S,18,FALSE)</f>
        <v>2026-04-30</v>
      </c>
      <c r="H100" s="12" t="str">
        <f>VLOOKUP(A100,'Cleaned Data'!$A:$S,19,FALSE)</f>
        <v>In Transit</v>
      </c>
    </row>
    <row r="101" spans="1:8" x14ac:dyDescent="0.25">
      <c r="A101" s="7" t="s">
        <v>37</v>
      </c>
      <c r="B101" s="12" t="str">
        <f>VLOOKUP(A101,'Cleaned Data'!$A:$S,2,FALSE)</f>
        <v>Automotive MCU (16-bit)</v>
      </c>
      <c r="C101" s="12" t="str">
        <f>VLOOKUP(A101,'Cleaned Data'!$A:$S,13,FALSE)</f>
        <v>TRK-66595</v>
      </c>
      <c r="D101" s="12" t="str">
        <f>VLOOKUP(A101,'Cleaned Data'!$A:$S,14,FALSE)</f>
        <v>FedEx Cargo</v>
      </c>
      <c r="E101" s="12" t="str">
        <f>VLOOKUP(A101,'Cleaned Data'!$A:$S,15,FALSE)</f>
        <v>Europe</v>
      </c>
      <c r="F101" s="2" t="s">
        <v>378</v>
      </c>
      <c r="G101" s="12" t="str">
        <f>VLOOKUP(A101,'Cleaned Data'!$A:$S,18,FALSE)</f>
        <v>2026-01-10</v>
      </c>
      <c r="H101" s="12" t="str">
        <f>VLOOKUP(A101,'Cleaned Data'!$A:$S,19,FALSE)</f>
        <v>In Transit</v>
      </c>
    </row>
    <row r="102" spans="1:8" x14ac:dyDescent="0.25">
      <c r="A102" s="2" t="s">
        <v>30</v>
      </c>
      <c r="B102" s="12" t="str">
        <f>VLOOKUP(A102,'Cleaned Data'!$A:$S,2,FALSE)</f>
        <v>OLED Display Driver IC</v>
      </c>
      <c r="C102" s="12" t="str">
        <f>VLOOKUP(A102,'Cleaned Data'!$A:$S,13,FALSE)</f>
        <v>TRK-97678</v>
      </c>
      <c r="D102" s="12" t="str">
        <f>VLOOKUP(A102,'Cleaned Data'!$A:$S,14,FALSE)</f>
        <v>DB Schenker</v>
      </c>
      <c r="E102" s="12" t="str">
        <f>VLOOKUP(A102,'Cleaned Data'!$A:$S,15,FALSE)</f>
        <v>North America</v>
      </c>
      <c r="F102" s="2" t="s">
        <v>376</v>
      </c>
      <c r="G102" s="12" t="str">
        <f>VLOOKUP(A102,'Cleaned Data'!$A:$S,18,FALSE)</f>
        <v>2026-04-23</v>
      </c>
      <c r="H102" s="12" t="str">
        <f>VLOOKUP(A102,'Cleaned Data'!$A:$S,19,FALSE)</f>
        <v>Pending</v>
      </c>
    </row>
    <row r="103" spans="1:8" x14ac:dyDescent="0.25">
      <c r="A103" s="7" t="s">
        <v>45</v>
      </c>
      <c r="B103" s="12" t="str">
        <f>VLOOKUP(A103,'Cleaned Data'!$A:$S,2,FALSE)</f>
        <v>IGBT Power Module</v>
      </c>
      <c r="C103" s="12" t="str">
        <f>VLOOKUP(A103,'Cleaned Data'!$A:$S,13,FALSE)</f>
        <v>TRK-99582</v>
      </c>
      <c r="D103" s="12" t="str">
        <f>VLOOKUP(A103,'Cleaned Data'!$A:$S,14,FALSE)</f>
        <v>Maersk Line</v>
      </c>
      <c r="E103" s="12" t="str">
        <f>VLOOKUP(A103,'Cleaned Data'!$A:$S,15,FALSE)</f>
        <v>North America</v>
      </c>
      <c r="F103" s="2" t="s">
        <v>376</v>
      </c>
      <c r="G103" s="12" t="str">
        <f>VLOOKUP(A103,'Cleaned Data'!$A:$S,18,FALSE)</f>
        <v>2026-01-12</v>
      </c>
      <c r="H103" s="12" t="str">
        <f>VLOOKUP(A103,'Cleaned Data'!$A:$S,19,FALSE)</f>
        <v>Delivered</v>
      </c>
    </row>
    <row r="104" spans="1:8" x14ac:dyDescent="0.25">
      <c r="A104" s="2" t="s">
        <v>53</v>
      </c>
      <c r="B104" s="12" t="str">
        <f>VLOOKUP(A104,'Cleaned Data'!$A:$S,2,FALSE)</f>
        <v>Silicon Wafer 300mm</v>
      </c>
      <c r="C104" s="12" t="str">
        <f>VLOOKUP(A104,'Cleaned Data'!$A:$S,13,FALSE)</f>
        <v>TRK-28391</v>
      </c>
      <c r="D104" s="12" t="str">
        <f>VLOOKUP(A104,'Cleaned Data'!$A:$S,14,FALSE)</f>
        <v>SF Express</v>
      </c>
      <c r="E104" s="12" t="str">
        <f>VLOOKUP(A104,'Cleaned Data'!$A:$S,15,FALSE)</f>
        <v>Asia-Pacific</v>
      </c>
      <c r="F104" s="2" t="s">
        <v>376</v>
      </c>
      <c r="G104" s="12" t="str">
        <f>VLOOKUP(A104,'Cleaned Data'!$A:$S,18,FALSE)</f>
        <v>2026-04-30</v>
      </c>
      <c r="H104" s="12" t="str">
        <f>VLOOKUP(A104,'Cleaned Data'!$A:$S,19,FALSE)</f>
        <v>In Transit</v>
      </c>
    </row>
    <row r="105" spans="1:8" x14ac:dyDescent="0.25">
      <c r="A105" s="7" t="s">
        <v>37</v>
      </c>
      <c r="B105" s="12" t="str">
        <f>VLOOKUP(A105,'Cleaned Data'!$A:$S,2,FALSE)</f>
        <v>Automotive MCU (16-bit)</v>
      </c>
      <c r="C105" s="12" t="str">
        <f>VLOOKUP(A105,'Cleaned Data'!$A:$S,13,FALSE)</f>
        <v>TRK-66595</v>
      </c>
      <c r="D105" s="12" t="str">
        <f>VLOOKUP(A105,'Cleaned Data'!$A:$S,14,FALSE)</f>
        <v>FedEx Cargo</v>
      </c>
      <c r="E105" s="12" t="str">
        <f>VLOOKUP(A105,'Cleaned Data'!$A:$S,15,FALSE)</f>
        <v>Europe</v>
      </c>
      <c r="F105" s="2" t="s">
        <v>378</v>
      </c>
      <c r="G105" s="12" t="str">
        <f>VLOOKUP(A105,'Cleaned Data'!$A:$S,18,FALSE)</f>
        <v>2026-01-10</v>
      </c>
      <c r="H105" s="12" t="str">
        <f>VLOOKUP(A105,'Cleaned Data'!$A:$S,19,FALSE)</f>
        <v>In Transit</v>
      </c>
    </row>
    <row r="106" spans="1:8" x14ac:dyDescent="0.25">
      <c r="A106" s="2" t="s">
        <v>53</v>
      </c>
      <c r="B106" s="12" t="str">
        <f>VLOOKUP(A106,'Cleaned Data'!$A:$S,2,FALSE)</f>
        <v>Silicon Wafer 300mm</v>
      </c>
      <c r="C106" s="12" t="str">
        <f>VLOOKUP(A106,'Cleaned Data'!$A:$S,13,FALSE)</f>
        <v>TRK-28391</v>
      </c>
      <c r="D106" s="12" t="str">
        <f>VLOOKUP(A106,'Cleaned Data'!$A:$S,14,FALSE)</f>
        <v>SF Express</v>
      </c>
      <c r="E106" s="12" t="str">
        <f>VLOOKUP(A106,'Cleaned Data'!$A:$S,15,FALSE)</f>
        <v>Asia-Pacific</v>
      </c>
      <c r="F106" s="2" t="s">
        <v>376</v>
      </c>
      <c r="G106" s="12" t="str">
        <f>VLOOKUP(A106,'Cleaned Data'!$A:$S,18,FALSE)</f>
        <v>2026-04-30</v>
      </c>
      <c r="H106" s="12" t="str">
        <f>VLOOKUP(A106,'Cleaned Data'!$A:$S,19,FALSE)</f>
        <v>In Transit</v>
      </c>
    </row>
    <row r="107" spans="1:8" x14ac:dyDescent="0.25">
      <c r="A107" s="7" t="s">
        <v>45</v>
      </c>
      <c r="B107" s="12" t="str">
        <f>VLOOKUP(A107,'Cleaned Data'!$A:$S,2,FALSE)</f>
        <v>IGBT Power Module</v>
      </c>
      <c r="C107" s="12" t="str">
        <f>VLOOKUP(A107,'Cleaned Data'!$A:$S,13,FALSE)</f>
        <v>TRK-99582</v>
      </c>
      <c r="D107" s="12" t="str">
        <f>VLOOKUP(A107,'Cleaned Data'!$A:$S,14,FALSE)</f>
        <v>Maersk Line</v>
      </c>
      <c r="E107" s="12" t="str">
        <f>VLOOKUP(A107,'Cleaned Data'!$A:$S,15,FALSE)</f>
        <v>North America</v>
      </c>
      <c r="F107" s="2" t="s">
        <v>376</v>
      </c>
      <c r="G107" s="12" t="str">
        <f>VLOOKUP(A107,'Cleaned Data'!$A:$S,18,FALSE)</f>
        <v>2026-01-12</v>
      </c>
      <c r="H107" s="12" t="str">
        <f>VLOOKUP(A107,'Cleaned Data'!$A:$S,19,FALSE)</f>
        <v>Delivered</v>
      </c>
    </row>
    <row r="108" spans="1:8" x14ac:dyDescent="0.25">
      <c r="A108" s="2" t="s">
        <v>67</v>
      </c>
      <c r="B108" s="12" t="str">
        <f>VLOOKUP(A108,'Cleaned Data'!$A:$S,2,FALSE)</f>
        <v>AI Accelerator GPU</v>
      </c>
      <c r="C108" s="12" t="str">
        <f>VLOOKUP(A108,'Cleaned Data'!$A:$S,13,FALSE)</f>
        <v>TRK-45814</v>
      </c>
      <c r="D108" s="12" t="str">
        <f>VLOOKUP(A108,'Cleaned Data'!$A:$S,14,FALSE)</f>
        <v>DB Schenker</v>
      </c>
      <c r="E108" s="12" t="str">
        <f>VLOOKUP(A108,'Cleaned Data'!$A:$S,15,FALSE)</f>
        <v>Asia-Pacific</v>
      </c>
      <c r="F108" s="2" t="s">
        <v>378</v>
      </c>
      <c r="G108" s="12" t="str">
        <f>VLOOKUP(A108,'Cleaned Data'!$A:$S,18,FALSE)</f>
        <v>2026-03-13</v>
      </c>
      <c r="H108" s="12" t="str">
        <f>VLOOKUP(A108,'Cleaned Data'!$A:$S,19,FALSE)</f>
        <v>Delayed at Customs</v>
      </c>
    </row>
    <row r="109" spans="1:8" x14ac:dyDescent="0.25">
      <c r="A109" s="7" t="s">
        <v>106</v>
      </c>
      <c r="B109" s="12" t="str">
        <f>VLOOKUP(A109,'Cleaned Data'!$A:$S,2,FALSE)</f>
        <v>MEMS Pressure Sensor</v>
      </c>
      <c r="C109" s="12" t="str">
        <f>VLOOKUP(A109,'Cleaned Data'!$A:$S,13,FALSE)</f>
        <v>TRK-74078</v>
      </c>
      <c r="D109" s="12" t="str">
        <f>VLOOKUP(A109,'Cleaned Data'!$A:$S,14,FALSE)</f>
        <v>DB Schenker</v>
      </c>
      <c r="E109" s="12" t="str">
        <f>VLOOKUP(A109,'Cleaned Data'!$A:$S,15,FALSE)</f>
        <v>North America</v>
      </c>
      <c r="F109" s="2" t="s">
        <v>376</v>
      </c>
      <c r="G109" s="12" t="str">
        <f>VLOOKUP(A109,'Cleaned Data'!$A:$S,18,FALSE)</f>
        <v>2026-04-29</v>
      </c>
      <c r="H109" s="12" t="str">
        <f>VLOOKUP(A109,'Cleaned Data'!$A:$S,19,FALSE)</f>
        <v>In Transit</v>
      </c>
    </row>
    <row r="110" spans="1:8" x14ac:dyDescent="0.25">
      <c r="A110" s="2" t="s">
        <v>14</v>
      </c>
      <c r="B110" s="12" t="str">
        <f>VLOOKUP(A110,'Cleaned Data'!$A:$S,2,FALSE)</f>
        <v>CMOS Image Sensor (CIS)</v>
      </c>
      <c r="C110" s="12" t="str">
        <f>VLOOKUP(A110,'Cleaned Data'!$A:$S,13,FALSE)</f>
        <v>TRK-73630</v>
      </c>
      <c r="D110" s="12" t="str">
        <f>VLOOKUP(A110,'Cleaned Data'!$A:$S,14,FALSE)</f>
        <v>SF Express</v>
      </c>
      <c r="E110" s="12" t="str">
        <f>VLOOKUP(A110,'Cleaned Data'!$A:$S,15,FALSE)</f>
        <v>Asia-Pacific</v>
      </c>
      <c r="F110" s="2" t="s">
        <v>375</v>
      </c>
      <c r="G110" s="12" t="str">
        <f>VLOOKUP(A110,'Cleaned Data'!$A:$S,18,FALSE)</f>
        <v>2026-02-13</v>
      </c>
      <c r="H110" s="12" t="str">
        <f>VLOOKUP(A110,'Cleaned Data'!$A:$S,19,FALSE)</f>
        <v>Pending</v>
      </c>
    </row>
    <row r="111" spans="1:8" x14ac:dyDescent="0.25">
      <c r="A111" s="7" t="s">
        <v>37</v>
      </c>
      <c r="B111" s="12" t="str">
        <f>VLOOKUP(A111,'Cleaned Data'!$A:$S,2,FALSE)</f>
        <v>Automotive MCU (16-bit)</v>
      </c>
      <c r="C111" s="12" t="str">
        <f>VLOOKUP(A111,'Cleaned Data'!$A:$S,13,FALSE)</f>
        <v>TRK-66595</v>
      </c>
      <c r="D111" s="12" t="str">
        <f>VLOOKUP(A111,'Cleaned Data'!$A:$S,14,FALSE)</f>
        <v>FedEx Cargo</v>
      </c>
      <c r="E111" s="12" t="str">
        <f>VLOOKUP(A111,'Cleaned Data'!$A:$S,15,FALSE)</f>
        <v>Europe</v>
      </c>
      <c r="F111" s="2" t="s">
        <v>375</v>
      </c>
      <c r="G111" s="12" t="str">
        <f>VLOOKUP(A111,'Cleaned Data'!$A:$S,18,FALSE)</f>
        <v>2026-01-10</v>
      </c>
      <c r="H111" s="12" t="str">
        <f>VLOOKUP(A111,'Cleaned Data'!$A:$S,19,FALSE)</f>
        <v>In Transit</v>
      </c>
    </row>
    <row r="112" spans="1:8" x14ac:dyDescent="0.25">
      <c r="A112" s="2" t="s">
        <v>53</v>
      </c>
      <c r="B112" s="12" t="str">
        <f>VLOOKUP(A112,'Cleaned Data'!$A:$S,2,FALSE)</f>
        <v>Silicon Wafer 300mm</v>
      </c>
      <c r="C112" s="12" t="str">
        <f>VLOOKUP(A112,'Cleaned Data'!$A:$S,13,FALSE)</f>
        <v>TRK-28391</v>
      </c>
      <c r="D112" s="12" t="str">
        <f>VLOOKUP(A112,'Cleaned Data'!$A:$S,14,FALSE)</f>
        <v>SF Express</v>
      </c>
      <c r="E112" s="12" t="str">
        <f>VLOOKUP(A112,'Cleaned Data'!$A:$S,15,FALSE)</f>
        <v>Asia-Pacific</v>
      </c>
      <c r="F112" s="2" t="s">
        <v>376</v>
      </c>
      <c r="G112" s="12" t="str">
        <f>VLOOKUP(A112,'Cleaned Data'!$A:$S,18,FALSE)</f>
        <v>2026-04-30</v>
      </c>
      <c r="H112" s="12" t="str">
        <f>VLOOKUP(A112,'Cleaned Data'!$A:$S,19,FALSE)</f>
        <v>In Transit</v>
      </c>
    </row>
    <row r="113" spans="1:8" x14ac:dyDescent="0.25">
      <c r="A113" s="7" t="s">
        <v>30</v>
      </c>
      <c r="B113" s="12" t="str">
        <f>VLOOKUP(A113,'Cleaned Data'!$A:$S,2,FALSE)</f>
        <v>OLED Display Driver IC</v>
      </c>
      <c r="C113" s="12" t="str">
        <f>VLOOKUP(A113,'Cleaned Data'!$A:$S,13,FALSE)</f>
        <v>TRK-97678</v>
      </c>
      <c r="D113" s="12" t="str">
        <f>VLOOKUP(A113,'Cleaned Data'!$A:$S,14,FALSE)</f>
        <v>DB Schenker</v>
      </c>
      <c r="E113" s="12" t="str">
        <f>VLOOKUP(A113,'Cleaned Data'!$A:$S,15,FALSE)</f>
        <v>North America</v>
      </c>
      <c r="F113" s="2" t="s">
        <v>376</v>
      </c>
      <c r="G113" s="12" t="str">
        <f>VLOOKUP(A113,'Cleaned Data'!$A:$S,18,FALSE)</f>
        <v>2026-04-23</v>
      </c>
      <c r="H113" s="12" t="str">
        <f>VLOOKUP(A113,'Cleaned Data'!$A:$S,19,FALSE)</f>
        <v>Pending</v>
      </c>
    </row>
    <row r="114" spans="1:8" x14ac:dyDescent="0.25">
      <c r="A114" s="2" t="s">
        <v>59</v>
      </c>
      <c r="B114" s="12" t="str">
        <f>VLOOKUP(A114,'Cleaned Data'!$A:$S,2,FALSE)</f>
        <v>GaN Fast Charger IC</v>
      </c>
      <c r="C114" s="12" t="str">
        <f>VLOOKUP(A114,'Cleaned Data'!$A:$S,13,FALSE)</f>
        <v>TRK-82133</v>
      </c>
      <c r="D114" s="12" t="str">
        <f>VLOOKUP(A114,'Cleaned Data'!$A:$S,14,FALSE)</f>
        <v>SF Express</v>
      </c>
      <c r="E114" s="12" t="str">
        <f>VLOOKUP(A114,'Cleaned Data'!$A:$S,15,FALSE)</f>
        <v>Europe</v>
      </c>
      <c r="F114" s="2" t="s">
        <v>376</v>
      </c>
      <c r="G114" s="12" t="str">
        <f>VLOOKUP(A114,'Cleaned Data'!$A:$S,18,FALSE)</f>
        <v>2026-03-02</v>
      </c>
      <c r="H114" s="12" t="str">
        <f>VLOOKUP(A114,'Cleaned Data'!$A:$S,19,FALSE)</f>
        <v>Delivered</v>
      </c>
    </row>
    <row r="115" spans="1:8" x14ac:dyDescent="0.25">
      <c r="A115" s="7" t="s">
        <v>30</v>
      </c>
      <c r="B115" s="12" t="str">
        <f>VLOOKUP(A115,'Cleaned Data'!$A:$S,2,FALSE)</f>
        <v>OLED Display Driver IC</v>
      </c>
      <c r="C115" s="12" t="str">
        <f>VLOOKUP(A115,'Cleaned Data'!$A:$S,13,FALSE)</f>
        <v>TRK-97678</v>
      </c>
      <c r="D115" s="12" t="str">
        <f>VLOOKUP(A115,'Cleaned Data'!$A:$S,14,FALSE)</f>
        <v>DB Schenker</v>
      </c>
      <c r="E115" s="12" t="str">
        <f>VLOOKUP(A115,'Cleaned Data'!$A:$S,15,FALSE)</f>
        <v>North America</v>
      </c>
      <c r="F115" s="2" t="s">
        <v>376</v>
      </c>
      <c r="G115" s="12" t="str">
        <f>VLOOKUP(A115,'Cleaned Data'!$A:$S,18,FALSE)</f>
        <v>2026-04-23</v>
      </c>
      <c r="H115" s="12" t="str">
        <f>VLOOKUP(A115,'Cleaned Data'!$A:$S,19,FALSE)</f>
        <v>Pending</v>
      </c>
    </row>
    <row r="116" spans="1:8" x14ac:dyDescent="0.25">
      <c r="A116" s="2" t="s">
        <v>23</v>
      </c>
      <c r="B116" s="12" t="str">
        <f>VLOOKUP(A116,'Cleaned Data'!$A:$S,2,FALSE)</f>
        <v>GaAs RF Power Amp</v>
      </c>
      <c r="C116" s="12" t="str">
        <f>VLOOKUP(A116,'Cleaned Data'!$A:$S,13,FALSE)</f>
        <v>TRK-62939</v>
      </c>
      <c r="D116" s="12" t="str">
        <f>VLOOKUP(A116,'Cleaned Data'!$A:$S,14,FALSE)</f>
        <v>DB Schenker</v>
      </c>
      <c r="E116" s="12" t="str">
        <f>VLOOKUP(A116,'Cleaned Data'!$A:$S,15,FALSE)</f>
        <v>Asia-Pacific</v>
      </c>
      <c r="F116" s="2" t="s">
        <v>376</v>
      </c>
      <c r="G116" s="12" t="str">
        <f>VLOOKUP(A116,'Cleaned Data'!$A:$S,18,FALSE)</f>
        <v>2026-01-10</v>
      </c>
      <c r="H116" s="12" t="str">
        <f>VLOOKUP(A116,'Cleaned Data'!$A:$S,19,FALSE)</f>
        <v>Pending</v>
      </c>
    </row>
    <row r="117" spans="1:8" x14ac:dyDescent="0.25">
      <c r="A117" s="7" t="s">
        <v>30</v>
      </c>
      <c r="B117" s="12" t="str">
        <f>VLOOKUP(A117,'Cleaned Data'!$A:$S,2,FALSE)</f>
        <v>OLED Display Driver IC</v>
      </c>
      <c r="C117" s="12" t="str">
        <f>VLOOKUP(A117,'Cleaned Data'!$A:$S,13,FALSE)</f>
        <v>TRK-97678</v>
      </c>
      <c r="D117" s="12" t="str">
        <f>VLOOKUP(A117,'Cleaned Data'!$A:$S,14,FALSE)</f>
        <v>DB Schenker</v>
      </c>
      <c r="E117" s="12" t="str">
        <f>VLOOKUP(A117,'Cleaned Data'!$A:$S,15,FALSE)</f>
        <v>North America</v>
      </c>
      <c r="F117" s="2" t="s">
        <v>376</v>
      </c>
      <c r="G117" s="12" t="str">
        <f>VLOOKUP(A117,'Cleaned Data'!$A:$S,18,FALSE)</f>
        <v>2026-04-23</v>
      </c>
      <c r="H117" s="12" t="str">
        <f>VLOOKUP(A117,'Cleaned Data'!$A:$S,19,FALSE)</f>
        <v>Pending</v>
      </c>
    </row>
    <row r="118" spans="1:8" x14ac:dyDescent="0.25">
      <c r="A118" s="2" t="s">
        <v>59</v>
      </c>
      <c r="B118" s="12" t="str">
        <f>VLOOKUP(A118,'Cleaned Data'!$A:$S,2,FALSE)</f>
        <v>GaN Fast Charger IC</v>
      </c>
      <c r="C118" s="12" t="str">
        <f>VLOOKUP(A118,'Cleaned Data'!$A:$S,13,FALSE)</f>
        <v>TRK-82133</v>
      </c>
      <c r="D118" s="12" t="str">
        <f>VLOOKUP(A118,'Cleaned Data'!$A:$S,14,FALSE)</f>
        <v>SF Express</v>
      </c>
      <c r="E118" s="12" t="str">
        <f>VLOOKUP(A118,'Cleaned Data'!$A:$S,15,FALSE)</f>
        <v>Europe</v>
      </c>
      <c r="F118" s="2" t="s">
        <v>376</v>
      </c>
      <c r="G118" s="12" t="str">
        <f>VLOOKUP(A118,'Cleaned Data'!$A:$S,18,FALSE)</f>
        <v>2026-03-02</v>
      </c>
      <c r="H118" s="12" t="str">
        <f>VLOOKUP(A118,'Cleaned Data'!$A:$S,19,FALSE)</f>
        <v>Delivered</v>
      </c>
    </row>
    <row r="119" spans="1:8" x14ac:dyDescent="0.25">
      <c r="A119" s="7" t="s">
        <v>53</v>
      </c>
      <c r="B119" s="12" t="str">
        <f>VLOOKUP(A119,'Cleaned Data'!$A:$S,2,FALSE)</f>
        <v>Silicon Wafer 300mm</v>
      </c>
      <c r="C119" s="12" t="str">
        <f>VLOOKUP(A119,'Cleaned Data'!$A:$S,13,FALSE)</f>
        <v>TRK-28391</v>
      </c>
      <c r="D119" s="12" t="str">
        <f>VLOOKUP(A119,'Cleaned Data'!$A:$S,14,FALSE)</f>
        <v>SF Express</v>
      </c>
      <c r="E119" s="12" t="str">
        <f>VLOOKUP(A119,'Cleaned Data'!$A:$S,15,FALSE)</f>
        <v>Asia-Pacific</v>
      </c>
      <c r="F119" s="2" t="s">
        <v>375</v>
      </c>
      <c r="G119" s="12" t="str">
        <f>VLOOKUP(A119,'Cleaned Data'!$A:$S,18,FALSE)</f>
        <v>2026-04-30</v>
      </c>
      <c r="H119" s="12" t="str">
        <f>VLOOKUP(A119,'Cleaned Data'!$A:$S,19,FALSE)</f>
        <v>In Transit</v>
      </c>
    </row>
    <row r="120" spans="1:8" x14ac:dyDescent="0.25">
      <c r="A120" s="2" t="s">
        <v>89</v>
      </c>
      <c r="B120" s="12" t="str">
        <f>VLOOKUP(A120,'Cleaned Data'!$A:$S,2,FALSE)</f>
        <v>NAND Flash 3D 128-Layer</v>
      </c>
      <c r="C120" s="12" t="str">
        <f>VLOOKUP(A120,'Cleaned Data'!$A:$S,13,FALSE)</f>
        <v>TRK-99575</v>
      </c>
      <c r="D120" s="12" t="str">
        <f>VLOOKUP(A120,'Cleaned Data'!$A:$S,14,FALSE)</f>
        <v>Nippon Express</v>
      </c>
      <c r="E120" s="12" t="str">
        <f>VLOOKUP(A120,'Cleaned Data'!$A:$S,15,FALSE)</f>
        <v>Asia-Pacific</v>
      </c>
      <c r="F120" s="2" t="s">
        <v>376</v>
      </c>
      <c r="G120" s="12" t="str">
        <f>VLOOKUP(A120,'Cleaned Data'!$A:$S,18,FALSE)</f>
        <v>2026-01-15</v>
      </c>
      <c r="H120" s="12" t="str">
        <f>VLOOKUP(A120,'Cleaned Data'!$A:$S,19,FALSE)</f>
        <v>Delayed at Customs</v>
      </c>
    </row>
    <row r="121" spans="1:8" x14ac:dyDescent="0.25">
      <c r="A121" s="7" t="s">
        <v>106</v>
      </c>
      <c r="B121" s="12" t="str">
        <f>VLOOKUP(A121,'Cleaned Data'!$A:$S,2,FALSE)</f>
        <v>MEMS Pressure Sensor</v>
      </c>
      <c r="C121" s="12" t="str">
        <f>VLOOKUP(A121,'Cleaned Data'!$A:$S,13,FALSE)</f>
        <v>TRK-74078</v>
      </c>
      <c r="D121" s="12" t="str">
        <f>VLOOKUP(A121,'Cleaned Data'!$A:$S,14,FALSE)</f>
        <v>DB Schenker</v>
      </c>
      <c r="E121" s="12" t="str">
        <f>VLOOKUP(A121,'Cleaned Data'!$A:$S,15,FALSE)</f>
        <v>North America</v>
      </c>
      <c r="F121" s="2" t="s">
        <v>378</v>
      </c>
      <c r="G121" s="12" t="str">
        <f>VLOOKUP(A121,'Cleaned Data'!$A:$S,18,FALSE)</f>
        <v>2026-04-29</v>
      </c>
      <c r="H121" s="12" t="str">
        <f>VLOOKUP(A121,'Cleaned Data'!$A:$S,19,FALSE)</f>
        <v>In Transit</v>
      </c>
    </row>
    <row r="122" spans="1:8" x14ac:dyDescent="0.25">
      <c r="A122" s="2" t="s">
        <v>14</v>
      </c>
      <c r="B122" s="12" t="str">
        <f>VLOOKUP(A122,'Cleaned Data'!$A:$S,2,FALSE)</f>
        <v>CMOS Image Sensor (CIS)</v>
      </c>
      <c r="C122" s="12" t="str">
        <f>VLOOKUP(A122,'Cleaned Data'!$A:$S,13,FALSE)</f>
        <v>TRK-73630</v>
      </c>
      <c r="D122" s="12" t="str">
        <f>VLOOKUP(A122,'Cleaned Data'!$A:$S,14,FALSE)</f>
        <v>SF Express</v>
      </c>
      <c r="E122" s="12" t="str">
        <f>VLOOKUP(A122,'Cleaned Data'!$A:$S,15,FALSE)</f>
        <v>Asia-Pacific</v>
      </c>
      <c r="F122" s="2" t="s">
        <v>376</v>
      </c>
      <c r="G122" s="12" t="str">
        <f>VLOOKUP(A122,'Cleaned Data'!$A:$S,18,FALSE)</f>
        <v>2026-02-13</v>
      </c>
      <c r="H122" s="12" t="str">
        <f>VLOOKUP(A122,'Cleaned Data'!$A:$S,19,FALSE)</f>
        <v>Pending</v>
      </c>
    </row>
    <row r="123" spans="1:8" x14ac:dyDescent="0.25">
      <c r="A123" s="7" t="s">
        <v>23</v>
      </c>
      <c r="B123" s="12" t="str">
        <f>VLOOKUP(A123,'Cleaned Data'!$A:$S,2,FALSE)</f>
        <v>GaAs RF Power Amp</v>
      </c>
      <c r="C123" s="12" t="str">
        <f>VLOOKUP(A123,'Cleaned Data'!$A:$S,13,FALSE)</f>
        <v>TRK-62939</v>
      </c>
      <c r="D123" s="12" t="str">
        <f>VLOOKUP(A123,'Cleaned Data'!$A:$S,14,FALSE)</f>
        <v>DB Schenker</v>
      </c>
      <c r="E123" s="12" t="str">
        <f>VLOOKUP(A123,'Cleaned Data'!$A:$S,15,FALSE)</f>
        <v>Asia-Pacific</v>
      </c>
      <c r="F123" s="2" t="s">
        <v>376</v>
      </c>
      <c r="G123" s="12" t="str">
        <f>VLOOKUP(A123,'Cleaned Data'!$A:$S,18,FALSE)</f>
        <v>2026-01-10</v>
      </c>
      <c r="H123" s="12" t="str">
        <f>VLOOKUP(A123,'Cleaned Data'!$A:$S,19,FALSE)</f>
        <v>Pending</v>
      </c>
    </row>
    <row r="124" spans="1:8" x14ac:dyDescent="0.25">
      <c r="A124" s="2" t="s">
        <v>37</v>
      </c>
      <c r="B124" s="12" t="str">
        <f>VLOOKUP(A124,'Cleaned Data'!$A:$S,2,FALSE)</f>
        <v>Automotive MCU (16-bit)</v>
      </c>
      <c r="C124" s="12" t="str">
        <f>VLOOKUP(A124,'Cleaned Data'!$A:$S,13,FALSE)</f>
        <v>TRK-66595</v>
      </c>
      <c r="D124" s="12" t="str">
        <f>VLOOKUP(A124,'Cleaned Data'!$A:$S,14,FALSE)</f>
        <v>FedEx Cargo</v>
      </c>
      <c r="E124" s="12" t="str">
        <f>VLOOKUP(A124,'Cleaned Data'!$A:$S,15,FALSE)</f>
        <v>Europe</v>
      </c>
      <c r="F124" s="2" t="s">
        <v>375</v>
      </c>
      <c r="G124" s="12" t="str">
        <f>VLOOKUP(A124,'Cleaned Data'!$A:$S,18,FALSE)</f>
        <v>2026-01-10</v>
      </c>
      <c r="H124" s="12" t="str">
        <f>VLOOKUP(A124,'Cleaned Data'!$A:$S,19,FALSE)</f>
        <v>In Transit</v>
      </c>
    </row>
    <row r="125" spans="1:8" x14ac:dyDescent="0.25">
      <c r="A125" s="7" t="s">
        <v>53</v>
      </c>
      <c r="B125" s="12" t="str">
        <f>VLOOKUP(A125,'Cleaned Data'!$A:$S,2,FALSE)</f>
        <v>Silicon Wafer 300mm</v>
      </c>
      <c r="C125" s="12" t="str">
        <f>VLOOKUP(A125,'Cleaned Data'!$A:$S,13,FALSE)</f>
        <v>TRK-28391</v>
      </c>
      <c r="D125" s="12" t="str">
        <f>VLOOKUP(A125,'Cleaned Data'!$A:$S,14,FALSE)</f>
        <v>SF Express</v>
      </c>
      <c r="E125" s="12" t="str">
        <f>VLOOKUP(A125,'Cleaned Data'!$A:$S,15,FALSE)</f>
        <v>Asia-Pacific</v>
      </c>
      <c r="F125" s="2" t="s">
        <v>376</v>
      </c>
      <c r="G125" s="12" t="str">
        <f>VLOOKUP(A125,'Cleaned Data'!$A:$S,18,FALSE)</f>
        <v>2026-04-30</v>
      </c>
      <c r="H125" s="12" t="str">
        <f>VLOOKUP(A125,'Cleaned Data'!$A:$S,19,FALSE)</f>
        <v>In Transit</v>
      </c>
    </row>
    <row r="126" spans="1:8" x14ac:dyDescent="0.25">
      <c r="A126" s="2" t="s">
        <v>37</v>
      </c>
      <c r="B126" s="12" t="str">
        <f>VLOOKUP(A126,'Cleaned Data'!$A:$S,2,FALSE)</f>
        <v>Automotive MCU (16-bit)</v>
      </c>
      <c r="C126" s="12" t="str">
        <f>VLOOKUP(A126,'Cleaned Data'!$A:$S,13,FALSE)</f>
        <v>TRK-66595</v>
      </c>
      <c r="D126" s="12" t="str">
        <f>VLOOKUP(A126,'Cleaned Data'!$A:$S,14,FALSE)</f>
        <v>FedEx Cargo</v>
      </c>
      <c r="E126" s="12" t="str">
        <f>VLOOKUP(A126,'Cleaned Data'!$A:$S,15,FALSE)</f>
        <v>Europe</v>
      </c>
      <c r="F126" s="2" t="s">
        <v>378</v>
      </c>
      <c r="G126" s="12" t="str">
        <f>VLOOKUP(A126,'Cleaned Data'!$A:$S,18,FALSE)</f>
        <v>2026-01-10</v>
      </c>
      <c r="H126" s="12" t="str">
        <f>VLOOKUP(A126,'Cleaned Data'!$A:$S,19,FALSE)</f>
        <v>In Transit</v>
      </c>
    </row>
    <row r="127" spans="1:8" x14ac:dyDescent="0.25">
      <c r="A127" s="7" t="s">
        <v>53</v>
      </c>
      <c r="B127" s="12" t="str">
        <f>VLOOKUP(A127,'Cleaned Data'!$A:$S,2,FALSE)</f>
        <v>Silicon Wafer 300mm</v>
      </c>
      <c r="C127" s="12" t="str">
        <f>VLOOKUP(A127,'Cleaned Data'!$A:$S,13,FALSE)</f>
        <v>TRK-28391</v>
      </c>
      <c r="D127" s="12" t="str">
        <f>VLOOKUP(A127,'Cleaned Data'!$A:$S,14,FALSE)</f>
        <v>SF Express</v>
      </c>
      <c r="E127" s="12" t="str">
        <f>VLOOKUP(A127,'Cleaned Data'!$A:$S,15,FALSE)</f>
        <v>Asia-Pacific</v>
      </c>
      <c r="F127" s="2" t="s">
        <v>376</v>
      </c>
      <c r="G127" s="12" t="str">
        <f>VLOOKUP(A127,'Cleaned Data'!$A:$S,18,FALSE)</f>
        <v>2026-04-30</v>
      </c>
      <c r="H127" s="12" t="str">
        <f>VLOOKUP(A127,'Cleaned Data'!$A:$S,19,FALSE)</f>
        <v>In Transit</v>
      </c>
    </row>
    <row r="128" spans="1:8" x14ac:dyDescent="0.25">
      <c r="A128" s="2" t="s">
        <v>45</v>
      </c>
      <c r="B128" s="12" t="str">
        <f>VLOOKUP(A128,'Cleaned Data'!$A:$S,2,FALSE)</f>
        <v>IGBT Power Module</v>
      </c>
      <c r="C128" s="12" t="str">
        <f>VLOOKUP(A128,'Cleaned Data'!$A:$S,13,FALSE)</f>
        <v>TRK-99582</v>
      </c>
      <c r="D128" s="12" t="str">
        <f>VLOOKUP(A128,'Cleaned Data'!$A:$S,14,FALSE)</f>
        <v>Maersk Line</v>
      </c>
      <c r="E128" s="12" t="str">
        <f>VLOOKUP(A128,'Cleaned Data'!$A:$S,15,FALSE)</f>
        <v>North America</v>
      </c>
      <c r="F128" s="2" t="s">
        <v>375</v>
      </c>
      <c r="G128" s="12" t="str">
        <f>VLOOKUP(A128,'Cleaned Data'!$A:$S,18,FALSE)</f>
        <v>2026-01-12</v>
      </c>
      <c r="H128" s="12" t="str">
        <f>VLOOKUP(A128,'Cleaned Data'!$A:$S,19,FALSE)</f>
        <v>Delivered</v>
      </c>
    </row>
    <row r="129" spans="1:8" x14ac:dyDescent="0.25">
      <c r="A129" s="7" t="s">
        <v>14</v>
      </c>
      <c r="B129" s="12" t="str">
        <f>VLOOKUP(A129,'Cleaned Data'!$A:$S,2,FALSE)</f>
        <v>CMOS Image Sensor (CIS)</v>
      </c>
      <c r="C129" s="12" t="str">
        <f>VLOOKUP(A129,'Cleaned Data'!$A:$S,13,FALSE)</f>
        <v>TRK-73630</v>
      </c>
      <c r="D129" s="12" t="str">
        <f>VLOOKUP(A129,'Cleaned Data'!$A:$S,14,FALSE)</f>
        <v>SF Express</v>
      </c>
      <c r="E129" s="12" t="str">
        <f>VLOOKUP(A129,'Cleaned Data'!$A:$S,15,FALSE)</f>
        <v>Asia-Pacific</v>
      </c>
      <c r="F129" s="2" t="s">
        <v>376</v>
      </c>
      <c r="G129" s="12" t="str">
        <f>VLOOKUP(A129,'Cleaned Data'!$A:$S,18,FALSE)</f>
        <v>2026-02-13</v>
      </c>
      <c r="H129" s="12" t="str">
        <f>VLOOKUP(A129,'Cleaned Data'!$A:$S,19,FALSE)</f>
        <v>Pending</v>
      </c>
    </row>
    <row r="130" spans="1:8" x14ac:dyDescent="0.25">
      <c r="A130" s="2" t="s">
        <v>53</v>
      </c>
      <c r="B130" s="12" t="str">
        <f>VLOOKUP(A130,'Cleaned Data'!$A:$S,2,FALSE)</f>
        <v>Silicon Wafer 300mm</v>
      </c>
      <c r="C130" s="12" t="str">
        <f>VLOOKUP(A130,'Cleaned Data'!$A:$S,13,FALSE)</f>
        <v>TRK-28391</v>
      </c>
      <c r="D130" s="12" t="str">
        <f>VLOOKUP(A130,'Cleaned Data'!$A:$S,14,FALSE)</f>
        <v>SF Express</v>
      </c>
      <c r="E130" s="12" t="str">
        <f>VLOOKUP(A130,'Cleaned Data'!$A:$S,15,FALSE)</f>
        <v>Asia-Pacific</v>
      </c>
      <c r="F130" s="2" t="s">
        <v>378</v>
      </c>
      <c r="G130" s="12" t="str">
        <f>VLOOKUP(A130,'Cleaned Data'!$A:$S,18,FALSE)</f>
        <v>2026-04-30</v>
      </c>
      <c r="H130" s="12" t="str">
        <f>VLOOKUP(A130,'Cleaned Data'!$A:$S,19,FALSE)</f>
        <v>In Transit</v>
      </c>
    </row>
    <row r="131" spans="1:8" x14ac:dyDescent="0.25">
      <c r="A131" s="7" t="s">
        <v>37</v>
      </c>
      <c r="B131" s="12" t="str">
        <f>VLOOKUP(A131,'Cleaned Data'!$A:$S,2,FALSE)</f>
        <v>Automotive MCU (16-bit)</v>
      </c>
      <c r="C131" s="12" t="str">
        <f>VLOOKUP(A131,'Cleaned Data'!$A:$S,13,FALSE)</f>
        <v>TRK-66595</v>
      </c>
      <c r="D131" s="12" t="str">
        <f>VLOOKUP(A131,'Cleaned Data'!$A:$S,14,FALSE)</f>
        <v>FedEx Cargo</v>
      </c>
      <c r="E131" s="12" t="str">
        <f>VLOOKUP(A131,'Cleaned Data'!$A:$S,15,FALSE)</f>
        <v>Europe</v>
      </c>
      <c r="F131" s="2" t="s">
        <v>375</v>
      </c>
      <c r="G131" s="12" t="str">
        <f>VLOOKUP(A131,'Cleaned Data'!$A:$S,18,FALSE)</f>
        <v>2026-01-10</v>
      </c>
      <c r="H131" s="12" t="str">
        <f>VLOOKUP(A131,'Cleaned Data'!$A:$S,19,FALSE)</f>
        <v>In Transit</v>
      </c>
    </row>
    <row r="132" spans="1:8" x14ac:dyDescent="0.25">
      <c r="A132" s="2" t="s">
        <v>53</v>
      </c>
      <c r="B132" s="12" t="str">
        <f>VLOOKUP(A132,'Cleaned Data'!$A:$S,2,FALSE)</f>
        <v>Silicon Wafer 300mm</v>
      </c>
      <c r="C132" s="12" t="str">
        <f>VLOOKUP(A132,'Cleaned Data'!$A:$S,13,FALSE)</f>
        <v>TRK-28391</v>
      </c>
      <c r="D132" s="12" t="str">
        <f>VLOOKUP(A132,'Cleaned Data'!$A:$S,14,FALSE)</f>
        <v>SF Express</v>
      </c>
      <c r="E132" s="12" t="str">
        <f>VLOOKUP(A132,'Cleaned Data'!$A:$S,15,FALSE)</f>
        <v>Asia-Pacific</v>
      </c>
      <c r="F132" s="2" t="s">
        <v>376</v>
      </c>
      <c r="G132" s="12" t="str">
        <f>VLOOKUP(A132,'Cleaned Data'!$A:$S,18,FALSE)</f>
        <v>2026-04-30</v>
      </c>
      <c r="H132" s="12" t="str">
        <f>VLOOKUP(A132,'Cleaned Data'!$A:$S,19,FALSE)</f>
        <v>In Transit</v>
      </c>
    </row>
    <row r="133" spans="1:8" x14ac:dyDescent="0.25">
      <c r="A133" s="7" t="s">
        <v>37</v>
      </c>
      <c r="B133" s="12" t="str">
        <f>VLOOKUP(A133,'Cleaned Data'!$A:$S,2,FALSE)</f>
        <v>Automotive MCU (16-bit)</v>
      </c>
      <c r="C133" s="12" t="str">
        <f>VLOOKUP(A133,'Cleaned Data'!$A:$S,13,FALSE)</f>
        <v>TRK-66595</v>
      </c>
      <c r="D133" s="12" t="str">
        <f>VLOOKUP(A133,'Cleaned Data'!$A:$S,14,FALSE)</f>
        <v>FedEx Cargo</v>
      </c>
      <c r="E133" s="12" t="str">
        <f>VLOOKUP(A133,'Cleaned Data'!$A:$S,15,FALSE)</f>
        <v>Europe</v>
      </c>
      <c r="F133" s="2" t="s">
        <v>376</v>
      </c>
      <c r="G133" s="12" t="str">
        <f>VLOOKUP(A133,'Cleaned Data'!$A:$S,18,FALSE)</f>
        <v>2026-01-10</v>
      </c>
      <c r="H133" s="12" t="str">
        <f>VLOOKUP(A133,'Cleaned Data'!$A:$S,19,FALSE)</f>
        <v>In Transit</v>
      </c>
    </row>
    <row r="134" spans="1:8" x14ac:dyDescent="0.25">
      <c r="A134" s="2" t="s">
        <v>37</v>
      </c>
      <c r="B134" s="12" t="str">
        <f>VLOOKUP(A134,'Cleaned Data'!$A:$S,2,FALSE)</f>
        <v>Automotive MCU (16-bit)</v>
      </c>
      <c r="C134" s="12" t="str">
        <f>VLOOKUP(A134,'Cleaned Data'!$A:$S,13,FALSE)</f>
        <v>TRK-66595</v>
      </c>
      <c r="D134" s="12" t="str">
        <f>VLOOKUP(A134,'Cleaned Data'!$A:$S,14,FALSE)</f>
        <v>FedEx Cargo</v>
      </c>
      <c r="E134" s="12" t="str">
        <f>VLOOKUP(A134,'Cleaned Data'!$A:$S,15,FALSE)</f>
        <v>Europe</v>
      </c>
      <c r="F134" s="2" t="s">
        <v>378</v>
      </c>
      <c r="G134" s="12" t="str">
        <f>VLOOKUP(A134,'Cleaned Data'!$A:$S,18,FALSE)</f>
        <v>2026-01-10</v>
      </c>
      <c r="H134" s="12" t="str">
        <f>VLOOKUP(A134,'Cleaned Data'!$A:$S,19,FALSE)</f>
        <v>In Transit</v>
      </c>
    </row>
    <row r="135" spans="1:8" x14ac:dyDescent="0.25">
      <c r="A135" s="7" t="s">
        <v>14</v>
      </c>
      <c r="B135" s="12" t="str">
        <f>VLOOKUP(A135,'Cleaned Data'!$A:$S,2,FALSE)</f>
        <v>CMOS Image Sensor (CIS)</v>
      </c>
      <c r="C135" s="12" t="str">
        <f>VLOOKUP(A135,'Cleaned Data'!$A:$S,13,FALSE)</f>
        <v>TRK-73630</v>
      </c>
      <c r="D135" s="12" t="str">
        <f>VLOOKUP(A135,'Cleaned Data'!$A:$S,14,FALSE)</f>
        <v>SF Express</v>
      </c>
      <c r="E135" s="12" t="str">
        <f>VLOOKUP(A135,'Cleaned Data'!$A:$S,15,FALSE)</f>
        <v>Asia-Pacific</v>
      </c>
      <c r="F135" s="2" t="s">
        <v>375</v>
      </c>
      <c r="G135" s="12" t="str">
        <f>VLOOKUP(A135,'Cleaned Data'!$A:$S,18,FALSE)</f>
        <v>2026-02-13</v>
      </c>
      <c r="H135" s="12" t="str">
        <f>VLOOKUP(A135,'Cleaned Data'!$A:$S,19,FALSE)</f>
        <v>Pending</v>
      </c>
    </row>
    <row r="136" spans="1:8" x14ac:dyDescent="0.25">
      <c r="A136" s="2" t="s">
        <v>37</v>
      </c>
      <c r="B136" s="12" t="str">
        <f>VLOOKUP(A136,'Cleaned Data'!$A:$S,2,FALSE)</f>
        <v>Automotive MCU (16-bit)</v>
      </c>
      <c r="C136" s="12" t="str">
        <f>VLOOKUP(A136,'Cleaned Data'!$A:$S,13,FALSE)</f>
        <v>TRK-66595</v>
      </c>
      <c r="D136" s="12" t="str">
        <f>VLOOKUP(A136,'Cleaned Data'!$A:$S,14,FALSE)</f>
        <v>FedEx Cargo</v>
      </c>
      <c r="E136" s="12" t="str">
        <f>VLOOKUP(A136,'Cleaned Data'!$A:$S,15,FALSE)</f>
        <v>Europe</v>
      </c>
      <c r="F136" s="2" t="s">
        <v>376</v>
      </c>
      <c r="G136" s="12" t="str">
        <f>VLOOKUP(A136,'Cleaned Data'!$A:$S,18,FALSE)</f>
        <v>2026-01-10</v>
      </c>
      <c r="H136" s="12" t="str">
        <f>VLOOKUP(A136,'Cleaned Data'!$A:$S,19,FALSE)</f>
        <v>In Transit</v>
      </c>
    </row>
    <row r="137" spans="1:8" x14ac:dyDescent="0.25">
      <c r="A137" s="7" t="s">
        <v>106</v>
      </c>
      <c r="B137" s="12" t="str">
        <f>VLOOKUP(A137,'Cleaned Data'!$A:$S,2,FALSE)</f>
        <v>MEMS Pressure Sensor</v>
      </c>
      <c r="C137" s="12" t="str">
        <f>VLOOKUP(A137,'Cleaned Data'!$A:$S,13,FALSE)</f>
        <v>TRK-74078</v>
      </c>
      <c r="D137" s="12" t="str">
        <f>VLOOKUP(A137,'Cleaned Data'!$A:$S,14,FALSE)</f>
        <v>DB Schenker</v>
      </c>
      <c r="E137" s="12" t="str">
        <f>VLOOKUP(A137,'Cleaned Data'!$A:$S,15,FALSE)</f>
        <v>North America</v>
      </c>
      <c r="F137" s="2" t="s">
        <v>378</v>
      </c>
      <c r="G137" s="12" t="str">
        <f>VLOOKUP(A137,'Cleaned Data'!$A:$S,18,FALSE)</f>
        <v>2026-04-29</v>
      </c>
      <c r="H137" s="12" t="str">
        <f>VLOOKUP(A137,'Cleaned Data'!$A:$S,19,FALSE)</f>
        <v>In Transit</v>
      </c>
    </row>
    <row r="138" spans="1:8" x14ac:dyDescent="0.25">
      <c r="A138" s="2" t="s">
        <v>53</v>
      </c>
      <c r="B138" s="12" t="str">
        <f>VLOOKUP(A138,'Cleaned Data'!$A:$S,2,FALSE)</f>
        <v>Silicon Wafer 300mm</v>
      </c>
      <c r="C138" s="12" t="str">
        <f>VLOOKUP(A138,'Cleaned Data'!$A:$S,13,FALSE)</f>
        <v>TRK-28391</v>
      </c>
      <c r="D138" s="12" t="str">
        <f>VLOOKUP(A138,'Cleaned Data'!$A:$S,14,FALSE)</f>
        <v>SF Express</v>
      </c>
      <c r="E138" s="12" t="str">
        <f>VLOOKUP(A138,'Cleaned Data'!$A:$S,15,FALSE)</f>
        <v>Asia-Pacific</v>
      </c>
      <c r="F138" s="2" t="s">
        <v>375</v>
      </c>
      <c r="G138" s="12" t="str">
        <f>VLOOKUP(A138,'Cleaned Data'!$A:$S,18,FALSE)</f>
        <v>2026-04-30</v>
      </c>
      <c r="H138" s="12" t="str">
        <f>VLOOKUP(A138,'Cleaned Data'!$A:$S,19,FALSE)</f>
        <v>In Transit</v>
      </c>
    </row>
    <row r="139" spans="1:8" x14ac:dyDescent="0.25">
      <c r="A139" s="7" t="s">
        <v>45</v>
      </c>
      <c r="B139" s="12" t="str">
        <f>VLOOKUP(A139,'Cleaned Data'!$A:$S,2,FALSE)</f>
        <v>IGBT Power Module</v>
      </c>
      <c r="C139" s="12" t="str">
        <f>VLOOKUP(A139,'Cleaned Data'!$A:$S,13,FALSE)</f>
        <v>TRK-99582</v>
      </c>
      <c r="D139" s="12" t="str">
        <f>VLOOKUP(A139,'Cleaned Data'!$A:$S,14,FALSE)</f>
        <v>Maersk Line</v>
      </c>
      <c r="E139" s="12" t="str">
        <f>VLOOKUP(A139,'Cleaned Data'!$A:$S,15,FALSE)</f>
        <v>North America</v>
      </c>
      <c r="F139" s="2" t="s">
        <v>376</v>
      </c>
      <c r="G139" s="12" t="str">
        <f>VLOOKUP(A139,'Cleaned Data'!$A:$S,18,FALSE)</f>
        <v>2026-01-12</v>
      </c>
      <c r="H139" s="12" t="str">
        <f>VLOOKUP(A139,'Cleaned Data'!$A:$S,19,FALSE)</f>
        <v>Delivered</v>
      </c>
    </row>
    <row r="140" spans="1:8" x14ac:dyDescent="0.25">
      <c r="A140" s="2" t="s">
        <v>37</v>
      </c>
      <c r="B140" s="12" t="str">
        <f>VLOOKUP(A140,'Cleaned Data'!$A:$S,2,FALSE)</f>
        <v>Automotive MCU (16-bit)</v>
      </c>
      <c r="C140" s="12" t="str">
        <f>VLOOKUP(A140,'Cleaned Data'!$A:$S,13,FALSE)</f>
        <v>TRK-66595</v>
      </c>
      <c r="D140" s="12" t="str">
        <f>VLOOKUP(A140,'Cleaned Data'!$A:$S,14,FALSE)</f>
        <v>FedEx Cargo</v>
      </c>
      <c r="E140" s="12" t="str">
        <f>VLOOKUP(A140,'Cleaned Data'!$A:$S,15,FALSE)</f>
        <v>Europe</v>
      </c>
      <c r="F140" s="2" t="s">
        <v>376</v>
      </c>
      <c r="G140" s="12" t="str">
        <f>VLOOKUP(A140,'Cleaned Data'!$A:$S,18,FALSE)</f>
        <v>2026-01-10</v>
      </c>
      <c r="H140" s="12" t="str">
        <f>VLOOKUP(A140,'Cleaned Data'!$A:$S,19,FALSE)</f>
        <v>In Transit</v>
      </c>
    </row>
    <row r="141" spans="1:8" x14ac:dyDescent="0.25">
      <c r="A141" s="7" t="s">
        <v>89</v>
      </c>
      <c r="B141" s="12" t="str">
        <f>VLOOKUP(A141,'Cleaned Data'!$A:$S,2,FALSE)</f>
        <v>NAND Flash 3D 128-Layer</v>
      </c>
      <c r="C141" s="12" t="str">
        <f>VLOOKUP(A141,'Cleaned Data'!$A:$S,13,FALSE)</f>
        <v>TRK-99575</v>
      </c>
      <c r="D141" s="12" t="str">
        <f>VLOOKUP(A141,'Cleaned Data'!$A:$S,14,FALSE)</f>
        <v>Nippon Express</v>
      </c>
      <c r="E141" s="12" t="str">
        <f>VLOOKUP(A141,'Cleaned Data'!$A:$S,15,FALSE)</f>
        <v>Asia-Pacific</v>
      </c>
      <c r="F141" s="2" t="s">
        <v>376</v>
      </c>
      <c r="G141" s="12" t="str">
        <f>VLOOKUP(A141,'Cleaned Data'!$A:$S,18,FALSE)</f>
        <v>2026-01-15</v>
      </c>
      <c r="H141" s="12" t="str">
        <f>VLOOKUP(A141,'Cleaned Data'!$A:$S,19,FALSE)</f>
        <v>Delayed at Customs</v>
      </c>
    </row>
    <row r="142" spans="1:8" x14ac:dyDescent="0.25">
      <c r="A142" s="2" t="s">
        <v>89</v>
      </c>
      <c r="B142" s="12" t="str">
        <f>VLOOKUP(A142,'Cleaned Data'!$A:$S,2,FALSE)</f>
        <v>NAND Flash 3D 128-Layer</v>
      </c>
      <c r="C142" s="12" t="str">
        <f>VLOOKUP(A142,'Cleaned Data'!$A:$S,13,FALSE)</f>
        <v>TRK-99575</v>
      </c>
      <c r="D142" s="12" t="str">
        <f>VLOOKUP(A142,'Cleaned Data'!$A:$S,14,FALSE)</f>
        <v>Nippon Express</v>
      </c>
      <c r="E142" s="12" t="str">
        <f>VLOOKUP(A142,'Cleaned Data'!$A:$S,15,FALSE)</f>
        <v>Asia-Pacific</v>
      </c>
      <c r="F142" s="2" t="s">
        <v>376</v>
      </c>
      <c r="G142" s="12" t="str">
        <f>VLOOKUP(A142,'Cleaned Data'!$A:$S,18,FALSE)</f>
        <v>2026-01-15</v>
      </c>
      <c r="H142" s="12" t="str">
        <f>VLOOKUP(A142,'Cleaned Data'!$A:$S,19,FALSE)</f>
        <v>Delayed at Customs</v>
      </c>
    </row>
    <row r="143" spans="1:8" x14ac:dyDescent="0.25">
      <c r="A143" s="7" t="s">
        <v>59</v>
      </c>
      <c r="B143" s="12" t="str">
        <f>VLOOKUP(A143,'Cleaned Data'!$A:$S,2,FALSE)</f>
        <v>GaN Fast Charger IC</v>
      </c>
      <c r="C143" s="12" t="str">
        <f>VLOOKUP(A143,'Cleaned Data'!$A:$S,13,FALSE)</f>
        <v>TRK-82133</v>
      </c>
      <c r="D143" s="12" t="str">
        <f>VLOOKUP(A143,'Cleaned Data'!$A:$S,14,FALSE)</f>
        <v>SF Express</v>
      </c>
      <c r="E143" s="12" t="str">
        <f>VLOOKUP(A143,'Cleaned Data'!$A:$S,15,FALSE)</f>
        <v>Europe</v>
      </c>
      <c r="F143" s="2" t="s">
        <v>376</v>
      </c>
      <c r="G143" s="12" t="str">
        <f>VLOOKUP(A143,'Cleaned Data'!$A:$S,18,FALSE)</f>
        <v>2026-03-02</v>
      </c>
      <c r="H143" s="12" t="str">
        <f>VLOOKUP(A143,'Cleaned Data'!$A:$S,19,FALSE)</f>
        <v>Delivered</v>
      </c>
    </row>
    <row r="144" spans="1:8" x14ac:dyDescent="0.25">
      <c r="A144" s="2" t="s">
        <v>106</v>
      </c>
      <c r="B144" s="12" t="str">
        <f>VLOOKUP(A144,'Cleaned Data'!$A:$S,2,FALSE)</f>
        <v>MEMS Pressure Sensor</v>
      </c>
      <c r="C144" s="12" t="str">
        <f>VLOOKUP(A144,'Cleaned Data'!$A:$S,13,FALSE)</f>
        <v>TRK-74078</v>
      </c>
      <c r="D144" s="12" t="str">
        <f>VLOOKUP(A144,'Cleaned Data'!$A:$S,14,FALSE)</f>
        <v>DB Schenker</v>
      </c>
      <c r="E144" s="12" t="str">
        <f>VLOOKUP(A144,'Cleaned Data'!$A:$S,15,FALSE)</f>
        <v>North America</v>
      </c>
      <c r="F144" s="2" t="s">
        <v>378</v>
      </c>
      <c r="G144" s="12" t="str">
        <f>VLOOKUP(A144,'Cleaned Data'!$A:$S,18,FALSE)</f>
        <v>2026-04-29</v>
      </c>
      <c r="H144" s="12" t="str">
        <f>VLOOKUP(A144,'Cleaned Data'!$A:$S,19,FALSE)</f>
        <v>In Transit</v>
      </c>
    </row>
    <row r="145" spans="1:8" x14ac:dyDescent="0.25">
      <c r="A145" s="7" t="s">
        <v>14</v>
      </c>
      <c r="B145" s="12" t="str">
        <f>VLOOKUP(A145,'Cleaned Data'!$A:$S,2,FALSE)</f>
        <v>CMOS Image Sensor (CIS)</v>
      </c>
      <c r="C145" s="12" t="str">
        <f>VLOOKUP(A145,'Cleaned Data'!$A:$S,13,FALSE)</f>
        <v>TRK-73630</v>
      </c>
      <c r="D145" s="12" t="str">
        <f>VLOOKUP(A145,'Cleaned Data'!$A:$S,14,FALSE)</f>
        <v>SF Express</v>
      </c>
      <c r="E145" s="12" t="str">
        <f>VLOOKUP(A145,'Cleaned Data'!$A:$S,15,FALSE)</f>
        <v>Asia-Pacific</v>
      </c>
      <c r="F145" s="2" t="s">
        <v>375</v>
      </c>
      <c r="G145" s="12" t="str">
        <f>VLOOKUP(A145,'Cleaned Data'!$A:$S,18,FALSE)</f>
        <v>2026-02-13</v>
      </c>
      <c r="H145" s="12" t="str">
        <f>VLOOKUP(A145,'Cleaned Data'!$A:$S,19,FALSE)</f>
        <v>Pending</v>
      </c>
    </row>
    <row r="146" spans="1:8" x14ac:dyDescent="0.25">
      <c r="A146" s="2" t="s">
        <v>37</v>
      </c>
      <c r="B146" s="12" t="str">
        <f>VLOOKUP(A146,'Cleaned Data'!$A:$S,2,FALSE)</f>
        <v>Automotive MCU (16-bit)</v>
      </c>
      <c r="C146" s="12" t="str">
        <f>VLOOKUP(A146,'Cleaned Data'!$A:$S,13,FALSE)</f>
        <v>TRK-66595</v>
      </c>
      <c r="D146" s="12" t="str">
        <f>VLOOKUP(A146,'Cleaned Data'!$A:$S,14,FALSE)</f>
        <v>FedEx Cargo</v>
      </c>
      <c r="E146" s="12" t="str">
        <f>VLOOKUP(A146,'Cleaned Data'!$A:$S,15,FALSE)</f>
        <v>Europe</v>
      </c>
      <c r="F146" s="2" t="s">
        <v>375</v>
      </c>
      <c r="G146" s="12" t="str">
        <f>VLOOKUP(A146,'Cleaned Data'!$A:$S,18,FALSE)</f>
        <v>2026-01-10</v>
      </c>
      <c r="H146" s="12" t="str">
        <f>VLOOKUP(A146,'Cleaned Data'!$A:$S,19,FALSE)</f>
        <v>In Transit</v>
      </c>
    </row>
    <row r="147" spans="1:8" x14ac:dyDescent="0.25">
      <c r="A147" s="7" t="s">
        <v>23</v>
      </c>
      <c r="B147" s="12" t="str">
        <f>VLOOKUP(A147,'Cleaned Data'!$A:$S,2,FALSE)</f>
        <v>GaAs RF Power Amp</v>
      </c>
      <c r="C147" s="12" t="str">
        <f>VLOOKUP(A147,'Cleaned Data'!$A:$S,13,FALSE)</f>
        <v>TRK-62939</v>
      </c>
      <c r="D147" s="12" t="str">
        <f>VLOOKUP(A147,'Cleaned Data'!$A:$S,14,FALSE)</f>
        <v>DB Schenker</v>
      </c>
      <c r="E147" s="12" t="str">
        <f>VLOOKUP(A147,'Cleaned Data'!$A:$S,15,FALSE)</f>
        <v>Asia-Pacific</v>
      </c>
      <c r="F147" s="2" t="s">
        <v>378</v>
      </c>
      <c r="G147" s="12" t="str">
        <f>VLOOKUP(A147,'Cleaned Data'!$A:$S,18,FALSE)</f>
        <v>2026-01-10</v>
      </c>
      <c r="H147" s="12" t="str">
        <f>VLOOKUP(A147,'Cleaned Data'!$A:$S,19,FALSE)</f>
        <v>Pending</v>
      </c>
    </row>
    <row r="148" spans="1:8" x14ac:dyDescent="0.25">
      <c r="A148" s="2" t="s">
        <v>45</v>
      </c>
      <c r="B148" s="12" t="str">
        <f>VLOOKUP(A148,'Cleaned Data'!$A:$S,2,FALSE)</f>
        <v>IGBT Power Module</v>
      </c>
      <c r="C148" s="12" t="str">
        <f>VLOOKUP(A148,'Cleaned Data'!$A:$S,13,FALSE)</f>
        <v>TRK-99582</v>
      </c>
      <c r="D148" s="12" t="str">
        <f>VLOOKUP(A148,'Cleaned Data'!$A:$S,14,FALSE)</f>
        <v>Maersk Line</v>
      </c>
      <c r="E148" s="12" t="str">
        <f>VLOOKUP(A148,'Cleaned Data'!$A:$S,15,FALSE)</f>
        <v>North America</v>
      </c>
      <c r="F148" s="2" t="s">
        <v>378</v>
      </c>
      <c r="G148" s="12" t="str">
        <f>VLOOKUP(A148,'Cleaned Data'!$A:$S,18,FALSE)</f>
        <v>2026-01-12</v>
      </c>
      <c r="H148" s="12" t="str">
        <f>VLOOKUP(A148,'Cleaned Data'!$A:$S,19,FALSE)</f>
        <v>Delivered</v>
      </c>
    </row>
    <row r="149" spans="1:8" x14ac:dyDescent="0.25">
      <c r="A149" s="7" t="s">
        <v>23</v>
      </c>
      <c r="B149" s="12" t="str">
        <f>VLOOKUP(A149,'Cleaned Data'!$A:$S,2,FALSE)</f>
        <v>GaAs RF Power Amp</v>
      </c>
      <c r="C149" s="12" t="str">
        <f>VLOOKUP(A149,'Cleaned Data'!$A:$S,13,FALSE)</f>
        <v>TRK-62939</v>
      </c>
      <c r="D149" s="12" t="str">
        <f>VLOOKUP(A149,'Cleaned Data'!$A:$S,14,FALSE)</f>
        <v>DB Schenker</v>
      </c>
      <c r="E149" s="12" t="str">
        <f>VLOOKUP(A149,'Cleaned Data'!$A:$S,15,FALSE)</f>
        <v>Asia-Pacific</v>
      </c>
      <c r="F149" s="2" t="s">
        <v>376</v>
      </c>
      <c r="G149" s="12" t="str">
        <f>VLOOKUP(A149,'Cleaned Data'!$A:$S,18,FALSE)</f>
        <v>2026-01-10</v>
      </c>
      <c r="H149" s="12" t="str">
        <f>VLOOKUP(A149,'Cleaned Data'!$A:$S,19,FALSE)</f>
        <v>Pending</v>
      </c>
    </row>
    <row r="150" spans="1:8" x14ac:dyDescent="0.25">
      <c r="A150" s="2" t="s">
        <v>30</v>
      </c>
      <c r="B150" s="12" t="str">
        <f>VLOOKUP(A150,'Cleaned Data'!$A:$S,2,FALSE)</f>
        <v>OLED Display Driver IC</v>
      </c>
      <c r="C150" s="12" t="str">
        <f>VLOOKUP(A150,'Cleaned Data'!$A:$S,13,FALSE)</f>
        <v>TRK-97678</v>
      </c>
      <c r="D150" s="12" t="str">
        <f>VLOOKUP(A150,'Cleaned Data'!$A:$S,14,FALSE)</f>
        <v>DB Schenker</v>
      </c>
      <c r="E150" s="12" t="str">
        <f>VLOOKUP(A150,'Cleaned Data'!$A:$S,15,FALSE)</f>
        <v>North America</v>
      </c>
      <c r="F150" s="2" t="s">
        <v>376</v>
      </c>
      <c r="G150" s="12" t="str">
        <f>VLOOKUP(A150,'Cleaned Data'!$A:$S,18,FALSE)</f>
        <v>2026-04-23</v>
      </c>
      <c r="H150" s="12" t="str">
        <f>VLOOKUP(A150,'Cleaned Data'!$A:$S,19,FALSE)</f>
        <v>Pending</v>
      </c>
    </row>
    <row r="151" spans="1:8" x14ac:dyDescent="0.25">
      <c r="A151" s="7" t="s">
        <v>45</v>
      </c>
      <c r="B151" s="12" t="str">
        <f>VLOOKUP(A151,'Cleaned Data'!$A:$S,2,FALSE)</f>
        <v>IGBT Power Module</v>
      </c>
      <c r="C151" s="12" t="str">
        <f>VLOOKUP(A151,'Cleaned Data'!$A:$S,13,FALSE)</f>
        <v>TRK-99582</v>
      </c>
      <c r="D151" s="12" t="str">
        <f>VLOOKUP(A151,'Cleaned Data'!$A:$S,14,FALSE)</f>
        <v>Maersk Line</v>
      </c>
      <c r="E151" s="12" t="str">
        <f>VLOOKUP(A151,'Cleaned Data'!$A:$S,15,FALSE)</f>
        <v>North America</v>
      </c>
      <c r="F151" s="2" t="s">
        <v>376</v>
      </c>
      <c r="G151" s="12" t="str">
        <f>VLOOKUP(A151,'Cleaned Data'!$A:$S,18,FALSE)</f>
        <v>2026-01-12</v>
      </c>
      <c r="H151" s="12" t="str">
        <f>VLOOKUP(A151,'Cleaned Data'!$A:$S,19,FALSE)</f>
        <v>Delivered</v>
      </c>
    </row>
    <row r="152" spans="1:8" x14ac:dyDescent="0.25">
      <c r="A152" s="2" t="s">
        <v>67</v>
      </c>
      <c r="B152" s="12" t="str">
        <f>VLOOKUP(A152,'Cleaned Data'!$A:$S,2,FALSE)</f>
        <v>AI Accelerator GPU</v>
      </c>
      <c r="C152" s="12" t="str">
        <f>VLOOKUP(A152,'Cleaned Data'!$A:$S,13,FALSE)</f>
        <v>TRK-45814</v>
      </c>
      <c r="D152" s="12" t="str">
        <f>VLOOKUP(A152,'Cleaned Data'!$A:$S,14,FALSE)</f>
        <v>DB Schenker</v>
      </c>
      <c r="E152" s="12" t="str">
        <f>VLOOKUP(A152,'Cleaned Data'!$A:$S,15,FALSE)</f>
        <v>Asia-Pacific</v>
      </c>
      <c r="F152" s="2" t="s">
        <v>376</v>
      </c>
      <c r="G152" s="12" t="str">
        <f>VLOOKUP(A152,'Cleaned Data'!$A:$S,18,FALSE)</f>
        <v>2026-03-13</v>
      </c>
      <c r="H152" s="12" t="str">
        <f>VLOOKUP(A152,'Cleaned Data'!$A:$S,19,FALSE)</f>
        <v>Delayed at Customs</v>
      </c>
    </row>
    <row r="153" spans="1:8" x14ac:dyDescent="0.25">
      <c r="A153" s="7" t="s">
        <v>59</v>
      </c>
      <c r="B153" s="12" t="str">
        <f>VLOOKUP(A153,'Cleaned Data'!$A:$S,2,FALSE)</f>
        <v>GaN Fast Charger IC</v>
      </c>
      <c r="C153" s="12" t="str">
        <f>VLOOKUP(A153,'Cleaned Data'!$A:$S,13,FALSE)</f>
        <v>TRK-82133</v>
      </c>
      <c r="D153" s="12" t="str">
        <f>VLOOKUP(A153,'Cleaned Data'!$A:$S,14,FALSE)</f>
        <v>SF Express</v>
      </c>
      <c r="E153" s="12" t="str">
        <f>VLOOKUP(A153,'Cleaned Data'!$A:$S,15,FALSE)</f>
        <v>Europe</v>
      </c>
      <c r="F153" s="2" t="s">
        <v>375</v>
      </c>
      <c r="G153" s="12" t="str">
        <f>VLOOKUP(A153,'Cleaned Data'!$A:$S,18,FALSE)</f>
        <v>2026-03-02</v>
      </c>
      <c r="H153" s="12" t="str">
        <f>VLOOKUP(A153,'Cleaned Data'!$A:$S,19,FALSE)</f>
        <v>Delivered</v>
      </c>
    </row>
    <row r="154" spans="1:8" x14ac:dyDescent="0.25">
      <c r="A154" s="2" t="s">
        <v>89</v>
      </c>
      <c r="B154" s="12" t="str">
        <f>VLOOKUP(A154,'Cleaned Data'!$A:$S,2,FALSE)</f>
        <v>NAND Flash 3D 128-Layer</v>
      </c>
      <c r="C154" s="12" t="str">
        <f>VLOOKUP(A154,'Cleaned Data'!$A:$S,13,FALSE)</f>
        <v>TRK-99575</v>
      </c>
      <c r="D154" s="12" t="str">
        <f>VLOOKUP(A154,'Cleaned Data'!$A:$S,14,FALSE)</f>
        <v>Nippon Express</v>
      </c>
      <c r="E154" s="12" t="str">
        <f>VLOOKUP(A154,'Cleaned Data'!$A:$S,15,FALSE)</f>
        <v>Asia-Pacific</v>
      </c>
      <c r="F154" s="2" t="s">
        <v>376</v>
      </c>
      <c r="G154" s="12" t="str">
        <f>VLOOKUP(A154,'Cleaned Data'!$A:$S,18,FALSE)</f>
        <v>2026-01-15</v>
      </c>
      <c r="H154" s="12" t="str">
        <f>VLOOKUP(A154,'Cleaned Data'!$A:$S,19,FALSE)</f>
        <v>Delayed at Customs</v>
      </c>
    </row>
    <row r="155" spans="1:8" x14ac:dyDescent="0.25">
      <c r="A155" s="7" t="s">
        <v>53</v>
      </c>
      <c r="B155" s="12" t="str">
        <f>VLOOKUP(A155,'Cleaned Data'!$A:$S,2,FALSE)</f>
        <v>Silicon Wafer 300mm</v>
      </c>
      <c r="C155" s="12" t="str">
        <f>VLOOKUP(A155,'Cleaned Data'!$A:$S,13,FALSE)</f>
        <v>TRK-28391</v>
      </c>
      <c r="D155" s="12" t="str">
        <f>VLOOKUP(A155,'Cleaned Data'!$A:$S,14,FALSE)</f>
        <v>SF Express</v>
      </c>
      <c r="E155" s="12" t="str">
        <f>VLOOKUP(A155,'Cleaned Data'!$A:$S,15,FALSE)</f>
        <v>Asia-Pacific</v>
      </c>
      <c r="F155" s="2" t="s">
        <v>376</v>
      </c>
      <c r="G155" s="12" t="str">
        <f>VLOOKUP(A155,'Cleaned Data'!$A:$S,18,FALSE)</f>
        <v>2026-04-30</v>
      </c>
      <c r="H155" s="12" t="str">
        <f>VLOOKUP(A155,'Cleaned Data'!$A:$S,19,FALSE)</f>
        <v>In Transit</v>
      </c>
    </row>
    <row r="156" spans="1:8" x14ac:dyDescent="0.25">
      <c r="A156" s="2" t="s">
        <v>67</v>
      </c>
      <c r="B156" s="12" t="str">
        <f>VLOOKUP(A156,'Cleaned Data'!$A:$S,2,FALSE)</f>
        <v>AI Accelerator GPU</v>
      </c>
      <c r="C156" s="12" t="str">
        <f>VLOOKUP(A156,'Cleaned Data'!$A:$S,13,FALSE)</f>
        <v>TRK-45814</v>
      </c>
      <c r="D156" s="12" t="str">
        <f>VLOOKUP(A156,'Cleaned Data'!$A:$S,14,FALSE)</f>
        <v>DB Schenker</v>
      </c>
      <c r="E156" s="12" t="str">
        <f>VLOOKUP(A156,'Cleaned Data'!$A:$S,15,FALSE)</f>
        <v>Asia-Pacific</v>
      </c>
      <c r="F156" s="2" t="s">
        <v>376</v>
      </c>
      <c r="G156" s="12" t="str">
        <f>VLOOKUP(A156,'Cleaned Data'!$A:$S,18,FALSE)</f>
        <v>2026-03-13</v>
      </c>
      <c r="H156" s="12" t="str">
        <f>VLOOKUP(A156,'Cleaned Data'!$A:$S,19,FALSE)</f>
        <v>Delayed at Customs</v>
      </c>
    </row>
    <row r="157" spans="1:8" x14ac:dyDescent="0.25">
      <c r="A157" s="7" t="s">
        <v>30</v>
      </c>
      <c r="B157" s="12" t="str">
        <f>VLOOKUP(A157,'Cleaned Data'!$A:$S,2,FALSE)</f>
        <v>OLED Display Driver IC</v>
      </c>
      <c r="C157" s="12" t="str">
        <f>VLOOKUP(A157,'Cleaned Data'!$A:$S,13,FALSE)</f>
        <v>TRK-97678</v>
      </c>
      <c r="D157" s="12" t="str">
        <f>VLOOKUP(A157,'Cleaned Data'!$A:$S,14,FALSE)</f>
        <v>DB Schenker</v>
      </c>
      <c r="E157" s="12" t="str">
        <f>VLOOKUP(A157,'Cleaned Data'!$A:$S,15,FALSE)</f>
        <v>North America</v>
      </c>
      <c r="F157" s="2" t="s">
        <v>376</v>
      </c>
      <c r="G157" s="12" t="str">
        <f>VLOOKUP(A157,'Cleaned Data'!$A:$S,18,FALSE)</f>
        <v>2026-04-23</v>
      </c>
      <c r="H157" s="12" t="str">
        <f>VLOOKUP(A157,'Cleaned Data'!$A:$S,19,FALSE)</f>
        <v>Pending</v>
      </c>
    </row>
    <row r="158" spans="1:8" x14ac:dyDescent="0.25">
      <c r="A158" s="2" t="s">
        <v>53</v>
      </c>
      <c r="B158" s="12" t="str">
        <f>VLOOKUP(A158,'Cleaned Data'!$A:$S,2,FALSE)</f>
        <v>Silicon Wafer 300mm</v>
      </c>
      <c r="C158" s="12" t="str">
        <f>VLOOKUP(A158,'Cleaned Data'!$A:$S,13,FALSE)</f>
        <v>TRK-28391</v>
      </c>
      <c r="D158" s="12" t="str">
        <f>VLOOKUP(A158,'Cleaned Data'!$A:$S,14,FALSE)</f>
        <v>SF Express</v>
      </c>
      <c r="E158" s="12" t="str">
        <f>VLOOKUP(A158,'Cleaned Data'!$A:$S,15,FALSE)</f>
        <v>Asia-Pacific</v>
      </c>
      <c r="F158" s="2" t="s">
        <v>376</v>
      </c>
      <c r="G158" s="12" t="str">
        <f>VLOOKUP(A158,'Cleaned Data'!$A:$S,18,FALSE)</f>
        <v>2026-04-30</v>
      </c>
      <c r="H158" s="12" t="str">
        <f>VLOOKUP(A158,'Cleaned Data'!$A:$S,19,FALSE)</f>
        <v>In Transit</v>
      </c>
    </row>
    <row r="159" spans="1:8" x14ac:dyDescent="0.25">
      <c r="A159" s="7" t="s">
        <v>45</v>
      </c>
      <c r="B159" s="12" t="str">
        <f>VLOOKUP(A159,'Cleaned Data'!$A:$S,2,FALSE)</f>
        <v>IGBT Power Module</v>
      </c>
      <c r="C159" s="12" t="str">
        <f>VLOOKUP(A159,'Cleaned Data'!$A:$S,13,FALSE)</f>
        <v>TRK-99582</v>
      </c>
      <c r="D159" s="12" t="str">
        <f>VLOOKUP(A159,'Cleaned Data'!$A:$S,14,FALSE)</f>
        <v>Maersk Line</v>
      </c>
      <c r="E159" s="12" t="str">
        <f>VLOOKUP(A159,'Cleaned Data'!$A:$S,15,FALSE)</f>
        <v>North America</v>
      </c>
      <c r="F159" s="2" t="s">
        <v>378</v>
      </c>
      <c r="G159" s="12" t="str">
        <f>VLOOKUP(A159,'Cleaned Data'!$A:$S,18,FALSE)</f>
        <v>2026-01-12</v>
      </c>
      <c r="H159" s="12" t="str">
        <f>VLOOKUP(A159,'Cleaned Data'!$A:$S,19,FALSE)</f>
        <v>Delivered</v>
      </c>
    </row>
    <row r="160" spans="1:8" x14ac:dyDescent="0.25">
      <c r="A160" s="2" t="s">
        <v>37</v>
      </c>
      <c r="B160" s="12" t="str">
        <f>VLOOKUP(A160,'Cleaned Data'!$A:$S,2,FALSE)</f>
        <v>Automotive MCU (16-bit)</v>
      </c>
      <c r="C160" s="12" t="str">
        <f>VLOOKUP(A160,'Cleaned Data'!$A:$S,13,FALSE)</f>
        <v>TRK-66595</v>
      </c>
      <c r="D160" s="12" t="str">
        <f>VLOOKUP(A160,'Cleaned Data'!$A:$S,14,FALSE)</f>
        <v>FedEx Cargo</v>
      </c>
      <c r="E160" s="12" t="str">
        <f>VLOOKUP(A160,'Cleaned Data'!$A:$S,15,FALSE)</f>
        <v>Europe</v>
      </c>
      <c r="F160" s="2" t="s">
        <v>376</v>
      </c>
      <c r="G160" s="12" t="str">
        <f>VLOOKUP(A160,'Cleaned Data'!$A:$S,18,FALSE)</f>
        <v>2026-01-10</v>
      </c>
      <c r="H160" s="12" t="str">
        <f>VLOOKUP(A160,'Cleaned Data'!$A:$S,19,FALSE)</f>
        <v>In Transit</v>
      </c>
    </row>
    <row r="161" spans="1:8" x14ac:dyDescent="0.25">
      <c r="A161" s="7" t="s">
        <v>23</v>
      </c>
      <c r="B161" s="12" t="str">
        <f>VLOOKUP(A161,'Cleaned Data'!$A:$S,2,FALSE)</f>
        <v>GaAs RF Power Amp</v>
      </c>
      <c r="C161" s="12" t="str">
        <f>VLOOKUP(A161,'Cleaned Data'!$A:$S,13,FALSE)</f>
        <v>TRK-62939</v>
      </c>
      <c r="D161" s="12" t="str">
        <f>VLOOKUP(A161,'Cleaned Data'!$A:$S,14,FALSE)</f>
        <v>DB Schenker</v>
      </c>
      <c r="E161" s="12" t="str">
        <f>VLOOKUP(A161,'Cleaned Data'!$A:$S,15,FALSE)</f>
        <v>Asia-Pacific</v>
      </c>
      <c r="F161" s="2" t="s">
        <v>375</v>
      </c>
      <c r="G161" s="12" t="str">
        <f>VLOOKUP(A161,'Cleaned Data'!$A:$S,18,FALSE)</f>
        <v>2026-01-10</v>
      </c>
      <c r="H161" s="12" t="str">
        <f>VLOOKUP(A161,'Cleaned Data'!$A:$S,19,FALSE)</f>
        <v>Pending</v>
      </c>
    </row>
    <row r="162" spans="1:8" x14ac:dyDescent="0.25">
      <c r="A162" s="2" t="s">
        <v>14</v>
      </c>
      <c r="B162" s="12" t="str">
        <f>VLOOKUP(A162,'Cleaned Data'!$A:$S,2,FALSE)</f>
        <v>CMOS Image Sensor (CIS)</v>
      </c>
      <c r="C162" s="12" t="str">
        <f>VLOOKUP(A162,'Cleaned Data'!$A:$S,13,FALSE)</f>
        <v>TRK-73630</v>
      </c>
      <c r="D162" s="12" t="str">
        <f>VLOOKUP(A162,'Cleaned Data'!$A:$S,14,FALSE)</f>
        <v>SF Express</v>
      </c>
      <c r="E162" s="12" t="str">
        <f>VLOOKUP(A162,'Cleaned Data'!$A:$S,15,FALSE)</f>
        <v>Asia-Pacific</v>
      </c>
      <c r="F162" s="2" t="s">
        <v>376</v>
      </c>
      <c r="G162" s="12" t="str">
        <f>VLOOKUP(A162,'Cleaned Data'!$A:$S,18,FALSE)</f>
        <v>2026-02-13</v>
      </c>
      <c r="H162" s="12" t="str">
        <f>VLOOKUP(A162,'Cleaned Data'!$A:$S,19,FALSE)</f>
        <v>Pending</v>
      </c>
    </row>
    <row r="163" spans="1:8" x14ac:dyDescent="0.25">
      <c r="A163" s="7" t="s">
        <v>30</v>
      </c>
      <c r="B163" s="12" t="str">
        <f>VLOOKUP(A163,'Cleaned Data'!$A:$S,2,FALSE)</f>
        <v>OLED Display Driver IC</v>
      </c>
      <c r="C163" s="12" t="str">
        <f>VLOOKUP(A163,'Cleaned Data'!$A:$S,13,FALSE)</f>
        <v>TRK-97678</v>
      </c>
      <c r="D163" s="12" t="str">
        <f>VLOOKUP(A163,'Cleaned Data'!$A:$S,14,FALSE)</f>
        <v>DB Schenker</v>
      </c>
      <c r="E163" s="12" t="str">
        <f>VLOOKUP(A163,'Cleaned Data'!$A:$S,15,FALSE)</f>
        <v>North America</v>
      </c>
      <c r="F163" s="2" t="s">
        <v>378</v>
      </c>
      <c r="G163" s="12" t="str">
        <f>VLOOKUP(A163,'Cleaned Data'!$A:$S,18,FALSE)</f>
        <v>2026-04-23</v>
      </c>
      <c r="H163" s="12" t="str">
        <f>VLOOKUP(A163,'Cleaned Data'!$A:$S,19,FALSE)</f>
        <v>Pending</v>
      </c>
    </row>
    <row r="164" spans="1:8" x14ac:dyDescent="0.25">
      <c r="A164" s="2" t="s">
        <v>14</v>
      </c>
      <c r="B164" s="12" t="str">
        <f>VLOOKUP(A164,'Cleaned Data'!$A:$S,2,FALSE)</f>
        <v>CMOS Image Sensor (CIS)</v>
      </c>
      <c r="C164" s="12" t="str">
        <f>VLOOKUP(A164,'Cleaned Data'!$A:$S,13,FALSE)</f>
        <v>TRK-73630</v>
      </c>
      <c r="D164" s="12" t="str">
        <f>VLOOKUP(A164,'Cleaned Data'!$A:$S,14,FALSE)</f>
        <v>SF Express</v>
      </c>
      <c r="E164" s="12" t="str">
        <f>VLOOKUP(A164,'Cleaned Data'!$A:$S,15,FALSE)</f>
        <v>Asia-Pacific</v>
      </c>
      <c r="F164" s="2" t="s">
        <v>376</v>
      </c>
      <c r="G164" s="12" t="str">
        <f>VLOOKUP(A164,'Cleaned Data'!$A:$S,18,FALSE)</f>
        <v>2026-02-13</v>
      </c>
      <c r="H164" s="12" t="str">
        <f>VLOOKUP(A164,'Cleaned Data'!$A:$S,19,FALSE)</f>
        <v>Pending</v>
      </c>
    </row>
    <row r="165" spans="1:8" x14ac:dyDescent="0.25">
      <c r="A165" s="7" t="s">
        <v>67</v>
      </c>
      <c r="B165" s="12" t="str">
        <f>VLOOKUP(A165,'Cleaned Data'!$A:$S,2,FALSE)</f>
        <v>AI Accelerator GPU</v>
      </c>
      <c r="C165" s="12" t="str">
        <f>VLOOKUP(A165,'Cleaned Data'!$A:$S,13,FALSE)</f>
        <v>TRK-45814</v>
      </c>
      <c r="D165" s="12" t="str">
        <f>VLOOKUP(A165,'Cleaned Data'!$A:$S,14,FALSE)</f>
        <v>DB Schenker</v>
      </c>
      <c r="E165" s="12" t="str">
        <f>VLOOKUP(A165,'Cleaned Data'!$A:$S,15,FALSE)</f>
        <v>Asia-Pacific</v>
      </c>
      <c r="F165" s="2" t="s">
        <v>376</v>
      </c>
      <c r="G165" s="12" t="str">
        <f>VLOOKUP(A165,'Cleaned Data'!$A:$S,18,FALSE)</f>
        <v>2026-03-13</v>
      </c>
      <c r="H165" s="12" t="str">
        <f>VLOOKUP(A165,'Cleaned Data'!$A:$S,19,FALSE)</f>
        <v>Delayed at Customs</v>
      </c>
    </row>
    <row r="166" spans="1:8" x14ac:dyDescent="0.25">
      <c r="A166" s="2" t="s">
        <v>53</v>
      </c>
      <c r="B166" s="12" t="str">
        <f>VLOOKUP(A166,'Cleaned Data'!$A:$S,2,FALSE)</f>
        <v>Silicon Wafer 300mm</v>
      </c>
      <c r="C166" s="12" t="str">
        <f>VLOOKUP(A166,'Cleaned Data'!$A:$S,13,FALSE)</f>
        <v>TRK-28391</v>
      </c>
      <c r="D166" s="12" t="str">
        <f>VLOOKUP(A166,'Cleaned Data'!$A:$S,14,FALSE)</f>
        <v>SF Express</v>
      </c>
      <c r="E166" s="12" t="str">
        <f>VLOOKUP(A166,'Cleaned Data'!$A:$S,15,FALSE)</f>
        <v>Asia-Pacific</v>
      </c>
      <c r="F166" s="2" t="s">
        <v>378</v>
      </c>
      <c r="G166" s="12" t="str">
        <f>VLOOKUP(A166,'Cleaned Data'!$A:$S,18,FALSE)</f>
        <v>2026-04-30</v>
      </c>
      <c r="H166" s="12" t="str">
        <f>VLOOKUP(A166,'Cleaned Data'!$A:$S,19,FALSE)</f>
        <v>In Transit</v>
      </c>
    </row>
    <row r="167" spans="1:8" x14ac:dyDescent="0.25">
      <c r="A167" s="7" t="s">
        <v>14</v>
      </c>
      <c r="B167" s="12" t="str">
        <f>VLOOKUP(A167,'Cleaned Data'!$A:$S,2,FALSE)</f>
        <v>CMOS Image Sensor (CIS)</v>
      </c>
      <c r="C167" s="12" t="str">
        <f>VLOOKUP(A167,'Cleaned Data'!$A:$S,13,FALSE)</f>
        <v>TRK-73630</v>
      </c>
      <c r="D167" s="12" t="str">
        <f>VLOOKUP(A167,'Cleaned Data'!$A:$S,14,FALSE)</f>
        <v>SF Express</v>
      </c>
      <c r="E167" s="12" t="str">
        <f>VLOOKUP(A167,'Cleaned Data'!$A:$S,15,FALSE)</f>
        <v>Asia-Pacific</v>
      </c>
      <c r="F167" s="2" t="s">
        <v>376</v>
      </c>
      <c r="G167" s="12" t="str">
        <f>VLOOKUP(A167,'Cleaned Data'!$A:$S,18,FALSE)</f>
        <v>2026-02-13</v>
      </c>
      <c r="H167" s="12" t="str">
        <f>VLOOKUP(A167,'Cleaned Data'!$A:$S,19,FALSE)</f>
        <v>Pending</v>
      </c>
    </row>
    <row r="168" spans="1:8" x14ac:dyDescent="0.25">
      <c r="A168" s="2" t="s">
        <v>67</v>
      </c>
      <c r="B168" s="12" t="str">
        <f>VLOOKUP(A168,'Cleaned Data'!$A:$S,2,FALSE)</f>
        <v>AI Accelerator GPU</v>
      </c>
      <c r="C168" s="12" t="str">
        <f>VLOOKUP(A168,'Cleaned Data'!$A:$S,13,FALSE)</f>
        <v>TRK-45814</v>
      </c>
      <c r="D168" s="12" t="str">
        <f>VLOOKUP(A168,'Cleaned Data'!$A:$S,14,FALSE)</f>
        <v>DB Schenker</v>
      </c>
      <c r="E168" s="12" t="str">
        <f>VLOOKUP(A168,'Cleaned Data'!$A:$S,15,FALSE)</f>
        <v>Asia-Pacific</v>
      </c>
      <c r="F168" s="2" t="s">
        <v>375</v>
      </c>
      <c r="G168" s="12" t="str">
        <f>VLOOKUP(A168,'Cleaned Data'!$A:$S,18,FALSE)</f>
        <v>2026-03-13</v>
      </c>
      <c r="H168" s="12" t="str">
        <f>VLOOKUP(A168,'Cleaned Data'!$A:$S,19,FALSE)</f>
        <v>Delayed at Customs</v>
      </c>
    </row>
    <row r="169" spans="1:8" x14ac:dyDescent="0.25">
      <c r="A169" s="7" t="s">
        <v>53</v>
      </c>
      <c r="B169" s="12" t="str">
        <f>VLOOKUP(A169,'Cleaned Data'!$A:$S,2,FALSE)</f>
        <v>Silicon Wafer 300mm</v>
      </c>
      <c r="C169" s="12" t="str">
        <f>VLOOKUP(A169,'Cleaned Data'!$A:$S,13,FALSE)</f>
        <v>TRK-28391</v>
      </c>
      <c r="D169" s="12" t="str">
        <f>VLOOKUP(A169,'Cleaned Data'!$A:$S,14,FALSE)</f>
        <v>SF Express</v>
      </c>
      <c r="E169" s="12" t="str">
        <f>VLOOKUP(A169,'Cleaned Data'!$A:$S,15,FALSE)</f>
        <v>Asia-Pacific</v>
      </c>
      <c r="F169" s="2" t="s">
        <v>376</v>
      </c>
      <c r="G169" s="12" t="str">
        <f>VLOOKUP(A169,'Cleaned Data'!$A:$S,18,FALSE)</f>
        <v>2026-04-30</v>
      </c>
      <c r="H169" s="12" t="str">
        <f>VLOOKUP(A169,'Cleaned Data'!$A:$S,19,FALSE)</f>
        <v>In Transit</v>
      </c>
    </row>
    <row r="170" spans="1:8" x14ac:dyDescent="0.25">
      <c r="A170" s="2" t="s">
        <v>14</v>
      </c>
      <c r="B170" s="12" t="str">
        <f>VLOOKUP(A170,'Cleaned Data'!$A:$S,2,FALSE)</f>
        <v>CMOS Image Sensor (CIS)</v>
      </c>
      <c r="C170" s="12" t="str">
        <f>VLOOKUP(A170,'Cleaned Data'!$A:$S,13,FALSE)</f>
        <v>TRK-73630</v>
      </c>
      <c r="D170" s="12" t="str">
        <f>VLOOKUP(A170,'Cleaned Data'!$A:$S,14,FALSE)</f>
        <v>SF Express</v>
      </c>
      <c r="E170" s="12" t="str">
        <f>VLOOKUP(A170,'Cleaned Data'!$A:$S,15,FALSE)</f>
        <v>Asia-Pacific</v>
      </c>
      <c r="F170" s="2" t="s">
        <v>375</v>
      </c>
      <c r="G170" s="12" t="str">
        <f>VLOOKUP(A170,'Cleaned Data'!$A:$S,18,FALSE)</f>
        <v>2026-02-13</v>
      </c>
      <c r="H170" s="12" t="str">
        <f>VLOOKUP(A170,'Cleaned Data'!$A:$S,19,FALSE)</f>
        <v>Pending</v>
      </c>
    </row>
    <row r="171" spans="1:8" x14ac:dyDescent="0.25">
      <c r="A171" s="7" t="s">
        <v>14</v>
      </c>
      <c r="B171" s="12" t="str">
        <f>VLOOKUP(A171,'Cleaned Data'!$A:$S,2,FALSE)</f>
        <v>CMOS Image Sensor (CIS)</v>
      </c>
      <c r="C171" s="12" t="str">
        <f>VLOOKUP(A171,'Cleaned Data'!$A:$S,13,FALSE)</f>
        <v>TRK-73630</v>
      </c>
      <c r="D171" s="12" t="str">
        <f>VLOOKUP(A171,'Cleaned Data'!$A:$S,14,FALSE)</f>
        <v>SF Express</v>
      </c>
      <c r="E171" s="12" t="str">
        <f>VLOOKUP(A171,'Cleaned Data'!$A:$S,15,FALSE)</f>
        <v>Asia-Pacific</v>
      </c>
      <c r="F171" s="2" t="s">
        <v>376</v>
      </c>
      <c r="G171" s="12" t="str">
        <f>VLOOKUP(A171,'Cleaned Data'!$A:$S,18,FALSE)</f>
        <v>2026-02-13</v>
      </c>
      <c r="H171" s="12" t="str">
        <f>VLOOKUP(A171,'Cleaned Data'!$A:$S,19,FALSE)</f>
        <v>Pending</v>
      </c>
    </row>
    <row r="172" spans="1:8" x14ac:dyDescent="0.25">
      <c r="A172" s="2" t="s">
        <v>59</v>
      </c>
      <c r="B172" s="12" t="str">
        <f>VLOOKUP(A172,'Cleaned Data'!$A:$S,2,FALSE)</f>
        <v>GaN Fast Charger IC</v>
      </c>
      <c r="C172" s="12" t="str">
        <f>VLOOKUP(A172,'Cleaned Data'!$A:$S,13,FALSE)</f>
        <v>TRK-82133</v>
      </c>
      <c r="D172" s="12" t="str">
        <f>VLOOKUP(A172,'Cleaned Data'!$A:$S,14,FALSE)</f>
        <v>SF Express</v>
      </c>
      <c r="E172" s="12" t="str">
        <f>VLOOKUP(A172,'Cleaned Data'!$A:$S,15,FALSE)</f>
        <v>Europe</v>
      </c>
      <c r="F172" s="2" t="s">
        <v>376</v>
      </c>
      <c r="G172" s="12" t="str">
        <f>VLOOKUP(A172,'Cleaned Data'!$A:$S,18,FALSE)</f>
        <v>2026-03-02</v>
      </c>
      <c r="H172" s="12" t="str">
        <f>VLOOKUP(A172,'Cleaned Data'!$A:$S,19,FALSE)</f>
        <v>Delivered</v>
      </c>
    </row>
    <row r="173" spans="1:8" x14ac:dyDescent="0.25">
      <c r="A173" s="7" t="s">
        <v>45</v>
      </c>
      <c r="B173" s="12" t="str">
        <f>VLOOKUP(A173,'Cleaned Data'!$A:$S,2,FALSE)</f>
        <v>IGBT Power Module</v>
      </c>
      <c r="C173" s="12" t="str">
        <f>VLOOKUP(A173,'Cleaned Data'!$A:$S,13,FALSE)</f>
        <v>TRK-99582</v>
      </c>
      <c r="D173" s="12" t="str">
        <f>VLOOKUP(A173,'Cleaned Data'!$A:$S,14,FALSE)</f>
        <v>Maersk Line</v>
      </c>
      <c r="E173" s="12" t="str">
        <f>VLOOKUP(A173,'Cleaned Data'!$A:$S,15,FALSE)</f>
        <v>North America</v>
      </c>
      <c r="F173" s="2" t="s">
        <v>376</v>
      </c>
      <c r="G173" s="12" t="str">
        <f>VLOOKUP(A173,'Cleaned Data'!$A:$S,18,FALSE)</f>
        <v>2026-01-12</v>
      </c>
      <c r="H173" s="12" t="str">
        <f>VLOOKUP(A173,'Cleaned Data'!$A:$S,19,FALSE)</f>
        <v>Delivered</v>
      </c>
    </row>
    <row r="174" spans="1:8" x14ac:dyDescent="0.25">
      <c r="A174" s="2" t="s">
        <v>53</v>
      </c>
      <c r="B174" s="12" t="str">
        <f>VLOOKUP(A174,'Cleaned Data'!$A:$S,2,FALSE)</f>
        <v>Silicon Wafer 300mm</v>
      </c>
      <c r="C174" s="12" t="str">
        <f>VLOOKUP(A174,'Cleaned Data'!$A:$S,13,FALSE)</f>
        <v>TRK-28391</v>
      </c>
      <c r="D174" s="12" t="str">
        <f>VLOOKUP(A174,'Cleaned Data'!$A:$S,14,FALSE)</f>
        <v>SF Express</v>
      </c>
      <c r="E174" s="12" t="str">
        <f>VLOOKUP(A174,'Cleaned Data'!$A:$S,15,FALSE)</f>
        <v>Asia-Pacific</v>
      </c>
      <c r="F174" s="2" t="s">
        <v>375</v>
      </c>
      <c r="G174" s="12" t="str">
        <f>VLOOKUP(A174,'Cleaned Data'!$A:$S,18,FALSE)</f>
        <v>2026-04-30</v>
      </c>
      <c r="H174" s="12" t="str">
        <f>VLOOKUP(A174,'Cleaned Data'!$A:$S,19,FALSE)</f>
        <v>In Transit</v>
      </c>
    </row>
    <row r="175" spans="1:8" x14ac:dyDescent="0.25">
      <c r="A175" s="7" t="s">
        <v>89</v>
      </c>
      <c r="B175" s="12" t="str">
        <f>VLOOKUP(A175,'Cleaned Data'!$A:$S,2,FALSE)</f>
        <v>NAND Flash 3D 128-Layer</v>
      </c>
      <c r="C175" s="12" t="str">
        <f>VLOOKUP(A175,'Cleaned Data'!$A:$S,13,FALSE)</f>
        <v>TRK-99575</v>
      </c>
      <c r="D175" s="12" t="str">
        <f>VLOOKUP(A175,'Cleaned Data'!$A:$S,14,FALSE)</f>
        <v>Nippon Express</v>
      </c>
      <c r="E175" s="12" t="str">
        <f>VLOOKUP(A175,'Cleaned Data'!$A:$S,15,FALSE)</f>
        <v>Asia-Pacific</v>
      </c>
      <c r="F175" s="2" t="s">
        <v>376</v>
      </c>
      <c r="G175" s="12" t="str">
        <f>VLOOKUP(A175,'Cleaned Data'!$A:$S,18,FALSE)</f>
        <v>2026-01-15</v>
      </c>
      <c r="H175" s="12" t="str">
        <f>VLOOKUP(A175,'Cleaned Data'!$A:$S,19,FALSE)</f>
        <v>Delayed at Customs</v>
      </c>
    </row>
    <row r="176" spans="1:8" x14ac:dyDescent="0.25">
      <c r="A176" s="2" t="s">
        <v>53</v>
      </c>
      <c r="B176" s="12" t="str">
        <f>VLOOKUP(A176,'Cleaned Data'!$A:$S,2,FALSE)</f>
        <v>Silicon Wafer 300mm</v>
      </c>
      <c r="C176" s="12" t="str">
        <f>VLOOKUP(A176,'Cleaned Data'!$A:$S,13,FALSE)</f>
        <v>TRK-28391</v>
      </c>
      <c r="D176" s="12" t="str">
        <f>VLOOKUP(A176,'Cleaned Data'!$A:$S,14,FALSE)</f>
        <v>SF Express</v>
      </c>
      <c r="E176" s="12" t="str">
        <f>VLOOKUP(A176,'Cleaned Data'!$A:$S,15,FALSE)</f>
        <v>Asia-Pacific</v>
      </c>
      <c r="F176" s="2" t="s">
        <v>376</v>
      </c>
      <c r="G176" s="12" t="str">
        <f>VLOOKUP(A176,'Cleaned Data'!$A:$S,18,FALSE)</f>
        <v>2026-04-30</v>
      </c>
      <c r="H176" s="12" t="str">
        <f>VLOOKUP(A176,'Cleaned Data'!$A:$S,19,FALSE)</f>
        <v>In Transit</v>
      </c>
    </row>
    <row r="177" spans="1:8" x14ac:dyDescent="0.25">
      <c r="A177" s="7" t="s">
        <v>67</v>
      </c>
      <c r="B177" s="12" t="str">
        <f>VLOOKUP(A177,'Cleaned Data'!$A:$S,2,FALSE)</f>
        <v>AI Accelerator GPU</v>
      </c>
      <c r="C177" s="12" t="str">
        <f>VLOOKUP(A177,'Cleaned Data'!$A:$S,13,FALSE)</f>
        <v>TRK-45814</v>
      </c>
      <c r="D177" s="12" t="str">
        <f>VLOOKUP(A177,'Cleaned Data'!$A:$S,14,FALSE)</f>
        <v>DB Schenker</v>
      </c>
      <c r="E177" s="12" t="str">
        <f>VLOOKUP(A177,'Cleaned Data'!$A:$S,15,FALSE)</f>
        <v>Asia-Pacific</v>
      </c>
      <c r="F177" s="2" t="s">
        <v>378</v>
      </c>
      <c r="G177" s="12" t="str">
        <f>VLOOKUP(A177,'Cleaned Data'!$A:$S,18,FALSE)</f>
        <v>2026-03-13</v>
      </c>
      <c r="H177" s="12" t="str">
        <f>VLOOKUP(A177,'Cleaned Data'!$A:$S,19,FALSE)</f>
        <v>Delayed at Customs</v>
      </c>
    </row>
    <row r="178" spans="1:8" x14ac:dyDescent="0.25">
      <c r="A178" s="2" t="s">
        <v>53</v>
      </c>
      <c r="B178" s="12" t="str">
        <f>VLOOKUP(A178,'Cleaned Data'!$A:$S,2,FALSE)</f>
        <v>Silicon Wafer 300mm</v>
      </c>
      <c r="C178" s="12" t="str">
        <f>VLOOKUP(A178,'Cleaned Data'!$A:$S,13,FALSE)</f>
        <v>TRK-28391</v>
      </c>
      <c r="D178" s="12" t="str">
        <f>VLOOKUP(A178,'Cleaned Data'!$A:$S,14,FALSE)</f>
        <v>SF Express</v>
      </c>
      <c r="E178" s="12" t="str">
        <f>VLOOKUP(A178,'Cleaned Data'!$A:$S,15,FALSE)</f>
        <v>Asia-Pacific</v>
      </c>
      <c r="F178" s="2" t="s">
        <v>378</v>
      </c>
      <c r="G178" s="12" t="str">
        <f>VLOOKUP(A178,'Cleaned Data'!$A:$S,18,FALSE)</f>
        <v>2026-04-30</v>
      </c>
      <c r="H178" s="12" t="str">
        <f>VLOOKUP(A178,'Cleaned Data'!$A:$S,19,FALSE)</f>
        <v>In Transit</v>
      </c>
    </row>
    <row r="179" spans="1:8" x14ac:dyDescent="0.25">
      <c r="A179" s="7" t="s">
        <v>45</v>
      </c>
      <c r="B179" s="12" t="str">
        <f>VLOOKUP(A179,'Cleaned Data'!$A:$S,2,FALSE)</f>
        <v>IGBT Power Module</v>
      </c>
      <c r="C179" s="12" t="str">
        <f>VLOOKUP(A179,'Cleaned Data'!$A:$S,13,FALSE)</f>
        <v>TRK-99582</v>
      </c>
      <c r="D179" s="12" t="str">
        <f>VLOOKUP(A179,'Cleaned Data'!$A:$S,14,FALSE)</f>
        <v>Maersk Line</v>
      </c>
      <c r="E179" s="12" t="str">
        <f>VLOOKUP(A179,'Cleaned Data'!$A:$S,15,FALSE)</f>
        <v>North America</v>
      </c>
      <c r="F179" s="2" t="s">
        <v>375</v>
      </c>
      <c r="G179" s="12" t="str">
        <f>VLOOKUP(A179,'Cleaned Data'!$A:$S,18,FALSE)</f>
        <v>2026-01-12</v>
      </c>
      <c r="H179" s="12" t="str">
        <f>VLOOKUP(A179,'Cleaned Data'!$A:$S,19,FALSE)</f>
        <v>Delivered</v>
      </c>
    </row>
    <row r="180" spans="1:8" x14ac:dyDescent="0.25">
      <c r="A180" s="2" t="s">
        <v>89</v>
      </c>
      <c r="B180" s="12" t="str">
        <f>VLOOKUP(A180,'Cleaned Data'!$A:$S,2,FALSE)</f>
        <v>NAND Flash 3D 128-Layer</v>
      </c>
      <c r="C180" s="12" t="str">
        <f>VLOOKUP(A180,'Cleaned Data'!$A:$S,13,FALSE)</f>
        <v>TRK-99575</v>
      </c>
      <c r="D180" s="12" t="str">
        <f>VLOOKUP(A180,'Cleaned Data'!$A:$S,14,FALSE)</f>
        <v>Nippon Express</v>
      </c>
      <c r="E180" s="12" t="str">
        <f>VLOOKUP(A180,'Cleaned Data'!$A:$S,15,FALSE)</f>
        <v>Asia-Pacific</v>
      </c>
      <c r="F180" s="2" t="s">
        <v>376</v>
      </c>
      <c r="G180" s="12" t="str">
        <f>VLOOKUP(A180,'Cleaned Data'!$A:$S,18,FALSE)</f>
        <v>2026-01-15</v>
      </c>
      <c r="H180" s="12" t="str">
        <f>VLOOKUP(A180,'Cleaned Data'!$A:$S,19,FALSE)</f>
        <v>Delayed at Customs</v>
      </c>
    </row>
    <row r="181" spans="1:8" x14ac:dyDescent="0.25">
      <c r="A181" s="7" t="s">
        <v>59</v>
      </c>
      <c r="B181" s="12" t="str">
        <f>VLOOKUP(A181,'Cleaned Data'!$A:$S,2,FALSE)</f>
        <v>GaN Fast Charger IC</v>
      </c>
      <c r="C181" s="12" t="str">
        <f>VLOOKUP(A181,'Cleaned Data'!$A:$S,13,FALSE)</f>
        <v>TRK-82133</v>
      </c>
      <c r="D181" s="12" t="str">
        <f>VLOOKUP(A181,'Cleaned Data'!$A:$S,14,FALSE)</f>
        <v>SF Express</v>
      </c>
      <c r="E181" s="12" t="str">
        <f>VLOOKUP(A181,'Cleaned Data'!$A:$S,15,FALSE)</f>
        <v>Europe</v>
      </c>
      <c r="F181" s="2" t="s">
        <v>378</v>
      </c>
      <c r="G181" s="12" t="str">
        <f>VLOOKUP(A181,'Cleaned Data'!$A:$S,18,FALSE)</f>
        <v>2026-03-02</v>
      </c>
      <c r="H181" s="12" t="str">
        <f>VLOOKUP(A181,'Cleaned Data'!$A:$S,19,FALSE)</f>
        <v>Delivered</v>
      </c>
    </row>
    <row r="182" spans="1:8" x14ac:dyDescent="0.25">
      <c r="A182" s="2" t="s">
        <v>14</v>
      </c>
      <c r="B182" s="12" t="str">
        <f>VLOOKUP(A182,'Cleaned Data'!$A:$S,2,FALSE)</f>
        <v>CMOS Image Sensor (CIS)</v>
      </c>
      <c r="C182" s="12" t="str">
        <f>VLOOKUP(A182,'Cleaned Data'!$A:$S,13,FALSE)</f>
        <v>TRK-73630</v>
      </c>
      <c r="D182" s="12" t="str">
        <f>VLOOKUP(A182,'Cleaned Data'!$A:$S,14,FALSE)</f>
        <v>SF Express</v>
      </c>
      <c r="E182" s="12" t="str">
        <f>VLOOKUP(A182,'Cleaned Data'!$A:$S,15,FALSE)</f>
        <v>Asia-Pacific</v>
      </c>
      <c r="F182" s="2" t="s">
        <v>376</v>
      </c>
      <c r="G182" s="12" t="str">
        <f>VLOOKUP(A182,'Cleaned Data'!$A:$S,18,FALSE)</f>
        <v>2026-02-13</v>
      </c>
      <c r="H182" s="12" t="str">
        <f>VLOOKUP(A182,'Cleaned Data'!$A:$S,19,FALSE)</f>
        <v>Pending</v>
      </c>
    </row>
    <row r="183" spans="1:8" x14ac:dyDescent="0.25">
      <c r="A183" s="7" t="s">
        <v>45</v>
      </c>
      <c r="B183" s="12" t="str">
        <f>VLOOKUP(A183,'Cleaned Data'!$A:$S,2,FALSE)</f>
        <v>IGBT Power Module</v>
      </c>
      <c r="C183" s="12" t="str">
        <f>VLOOKUP(A183,'Cleaned Data'!$A:$S,13,FALSE)</f>
        <v>TRK-99582</v>
      </c>
      <c r="D183" s="12" t="str">
        <f>VLOOKUP(A183,'Cleaned Data'!$A:$S,14,FALSE)</f>
        <v>Maersk Line</v>
      </c>
      <c r="E183" s="12" t="str">
        <f>VLOOKUP(A183,'Cleaned Data'!$A:$S,15,FALSE)</f>
        <v>North America</v>
      </c>
      <c r="F183" s="2" t="s">
        <v>376</v>
      </c>
      <c r="G183" s="12" t="str">
        <f>VLOOKUP(A183,'Cleaned Data'!$A:$S,18,FALSE)</f>
        <v>2026-01-12</v>
      </c>
      <c r="H183" s="12" t="str">
        <f>VLOOKUP(A183,'Cleaned Data'!$A:$S,19,FALSE)</f>
        <v>Delivered</v>
      </c>
    </row>
    <row r="184" spans="1:8" x14ac:dyDescent="0.25">
      <c r="A184" s="2" t="s">
        <v>45</v>
      </c>
      <c r="B184" s="12" t="str">
        <f>VLOOKUP(A184,'Cleaned Data'!$A:$S,2,FALSE)</f>
        <v>IGBT Power Module</v>
      </c>
      <c r="C184" s="12" t="str">
        <f>VLOOKUP(A184,'Cleaned Data'!$A:$S,13,FALSE)</f>
        <v>TRK-99582</v>
      </c>
      <c r="D184" s="12" t="str">
        <f>VLOOKUP(A184,'Cleaned Data'!$A:$S,14,FALSE)</f>
        <v>Maersk Line</v>
      </c>
      <c r="E184" s="12" t="str">
        <f>VLOOKUP(A184,'Cleaned Data'!$A:$S,15,FALSE)</f>
        <v>North America</v>
      </c>
      <c r="F184" s="2" t="s">
        <v>376</v>
      </c>
      <c r="G184" s="12" t="str">
        <f>VLOOKUP(A184,'Cleaned Data'!$A:$S,18,FALSE)</f>
        <v>2026-01-12</v>
      </c>
      <c r="H184" s="12" t="str">
        <f>VLOOKUP(A184,'Cleaned Data'!$A:$S,19,FALSE)</f>
        <v>Delivered</v>
      </c>
    </row>
    <row r="185" spans="1:8" x14ac:dyDescent="0.25">
      <c r="A185" s="7" t="s">
        <v>30</v>
      </c>
      <c r="B185" s="12" t="str">
        <f>VLOOKUP(A185,'Cleaned Data'!$A:$S,2,FALSE)</f>
        <v>OLED Display Driver IC</v>
      </c>
      <c r="C185" s="12" t="str">
        <f>VLOOKUP(A185,'Cleaned Data'!$A:$S,13,FALSE)</f>
        <v>TRK-97678</v>
      </c>
      <c r="D185" s="12" t="str">
        <f>VLOOKUP(A185,'Cleaned Data'!$A:$S,14,FALSE)</f>
        <v>DB Schenker</v>
      </c>
      <c r="E185" s="12" t="str">
        <f>VLOOKUP(A185,'Cleaned Data'!$A:$S,15,FALSE)</f>
        <v>North America</v>
      </c>
      <c r="F185" s="2" t="s">
        <v>378</v>
      </c>
      <c r="G185" s="12" t="str">
        <f>VLOOKUP(A185,'Cleaned Data'!$A:$S,18,FALSE)</f>
        <v>2026-04-23</v>
      </c>
      <c r="H185" s="12" t="str">
        <f>VLOOKUP(A185,'Cleaned Data'!$A:$S,19,FALSE)</f>
        <v>Pending</v>
      </c>
    </row>
    <row r="186" spans="1:8" x14ac:dyDescent="0.25">
      <c r="A186" s="2" t="s">
        <v>53</v>
      </c>
      <c r="B186" s="12" t="str">
        <f>VLOOKUP(A186,'Cleaned Data'!$A:$S,2,FALSE)</f>
        <v>Silicon Wafer 300mm</v>
      </c>
      <c r="C186" s="12" t="str">
        <f>VLOOKUP(A186,'Cleaned Data'!$A:$S,13,FALSE)</f>
        <v>TRK-28391</v>
      </c>
      <c r="D186" s="12" t="str">
        <f>VLOOKUP(A186,'Cleaned Data'!$A:$S,14,FALSE)</f>
        <v>SF Express</v>
      </c>
      <c r="E186" s="12" t="str">
        <f>VLOOKUP(A186,'Cleaned Data'!$A:$S,15,FALSE)</f>
        <v>Asia-Pacific</v>
      </c>
      <c r="F186" s="2" t="s">
        <v>376</v>
      </c>
      <c r="G186" s="12" t="str">
        <f>VLOOKUP(A186,'Cleaned Data'!$A:$S,18,FALSE)</f>
        <v>2026-04-30</v>
      </c>
      <c r="H186" s="12" t="str">
        <f>VLOOKUP(A186,'Cleaned Data'!$A:$S,19,FALSE)</f>
        <v>In Transit</v>
      </c>
    </row>
    <row r="187" spans="1:8" x14ac:dyDescent="0.25">
      <c r="A187" s="7" t="s">
        <v>37</v>
      </c>
      <c r="B187" s="12" t="str">
        <f>VLOOKUP(A187,'Cleaned Data'!$A:$S,2,FALSE)</f>
        <v>Automotive MCU (16-bit)</v>
      </c>
      <c r="C187" s="12" t="str">
        <f>VLOOKUP(A187,'Cleaned Data'!$A:$S,13,FALSE)</f>
        <v>TRK-66595</v>
      </c>
      <c r="D187" s="12" t="str">
        <f>VLOOKUP(A187,'Cleaned Data'!$A:$S,14,FALSE)</f>
        <v>FedEx Cargo</v>
      </c>
      <c r="E187" s="12" t="str">
        <f>VLOOKUP(A187,'Cleaned Data'!$A:$S,15,FALSE)</f>
        <v>Europe</v>
      </c>
      <c r="F187" s="2" t="s">
        <v>375</v>
      </c>
      <c r="G187" s="12" t="str">
        <f>VLOOKUP(A187,'Cleaned Data'!$A:$S,18,FALSE)</f>
        <v>2026-01-10</v>
      </c>
      <c r="H187" s="12" t="str">
        <f>VLOOKUP(A187,'Cleaned Data'!$A:$S,19,FALSE)</f>
        <v>In Transit</v>
      </c>
    </row>
    <row r="188" spans="1:8" x14ac:dyDescent="0.25">
      <c r="A188" s="2" t="s">
        <v>59</v>
      </c>
      <c r="B188" s="12" t="str">
        <f>VLOOKUP(A188,'Cleaned Data'!$A:$S,2,FALSE)</f>
        <v>GaN Fast Charger IC</v>
      </c>
      <c r="C188" s="12" t="str">
        <f>VLOOKUP(A188,'Cleaned Data'!$A:$S,13,FALSE)</f>
        <v>TRK-82133</v>
      </c>
      <c r="D188" s="12" t="str">
        <f>VLOOKUP(A188,'Cleaned Data'!$A:$S,14,FALSE)</f>
        <v>SF Express</v>
      </c>
      <c r="E188" s="12" t="str">
        <f>VLOOKUP(A188,'Cleaned Data'!$A:$S,15,FALSE)</f>
        <v>Europe</v>
      </c>
      <c r="F188" s="2" t="s">
        <v>376</v>
      </c>
      <c r="G188" s="12" t="str">
        <f>VLOOKUP(A188,'Cleaned Data'!$A:$S,18,FALSE)</f>
        <v>2026-03-02</v>
      </c>
      <c r="H188" s="12" t="str">
        <f>VLOOKUP(A188,'Cleaned Data'!$A:$S,19,FALSE)</f>
        <v>Delivered</v>
      </c>
    </row>
    <row r="189" spans="1:8" x14ac:dyDescent="0.25">
      <c r="A189" s="7" t="s">
        <v>106</v>
      </c>
      <c r="B189" s="12" t="str">
        <f>VLOOKUP(A189,'Cleaned Data'!$A:$S,2,FALSE)</f>
        <v>MEMS Pressure Sensor</v>
      </c>
      <c r="C189" s="12" t="str">
        <f>VLOOKUP(A189,'Cleaned Data'!$A:$S,13,FALSE)</f>
        <v>TRK-74078</v>
      </c>
      <c r="D189" s="12" t="str">
        <f>VLOOKUP(A189,'Cleaned Data'!$A:$S,14,FALSE)</f>
        <v>DB Schenker</v>
      </c>
      <c r="E189" s="12" t="str">
        <f>VLOOKUP(A189,'Cleaned Data'!$A:$S,15,FALSE)</f>
        <v>North America</v>
      </c>
      <c r="F189" s="2" t="s">
        <v>376</v>
      </c>
      <c r="G189" s="12" t="str">
        <f>VLOOKUP(A189,'Cleaned Data'!$A:$S,18,FALSE)</f>
        <v>2026-04-29</v>
      </c>
      <c r="H189" s="12" t="str">
        <f>VLOOKUP(A189,'Cleaned Data'!$A:$S,19,FALSE)</f>
        <v>In Transit</v>
      </c>
    </row>
    <row r="190" spans="1:8" x14ac:dyDescent="0.25">
      <c r="A190" s="2" t="s">
        <v>14</v>
      </c>
      <c r="B190" s="12" t="str">
        <f>VLOOKUP(A190,'Cleaned Data'!$A:$S,2,FALSE)</f>
        <v>CMOS Image Sensor (CIS)</v>
      </c>
      <c r="C190" s="12" t="str">
        <f>VLOOKUP(A190,'Cleaned Data'!$A:$S,13,FALSE)</f>
        <v>TRK-73630</v>
      </c>
      <c r="D190" s="12" t="str">
        <f>VLOOKUP(A190,'Cleaned Data'!$A:$S,14,FALSE)</f>
        <v>SF Express</v>
      </c>
      <c r="E190" s="12" t="str">
        <f>VLOOKUP(A190,'Cleaned Data'!$A:$S,15,FALSE)</f>
        <v>Asia-Pacific</v>
      </c>
      <c r="F190" s="2" t="s">
        <v>376</v>
      </c>
      <c r="G190" s="12" t="str">
        <f>VLOOKUP(A190,'Cleaned Data'!$A:$S,18,FALSE)</f>
        <v>2026-02-13</v>
      </c>
      <c r="H190" s="12" t="str">
        <f>VLOOKUP(A190,'Cleaned Data'!$A:$S,19,FALSE)</f>
        <v>Pending</v>
      </c>
    </row>
    <row r="191" spans="1:8" x14ac:dyDescent="0.25">
      <c r="A191" s="7" t="s">
        <v>37</v>
      </c>
      <c r="B191" s="12" t="str">
        <f>VLOOKUP(A191,'Cleaned Data'!$A:$S,2,FALSE)</f>
        <v>Automotive MCU (16-bit)</v>
      </c>
      <c r="C191" s="12" t="str">
        <f>VLOOKUP(A191,'Cleaned Data'!$A:$S,13,FALSE)</f>
        <v>TRK-66595</v>
      </c>
      <c r="D191" s="12" t="str">
        <f>VLOOKUP(A191,'Cleaned Data'!$A:$S,14,FALSE)</f>
        <v>FedEx Cargo</v>
      </c>
      <c r="E191" s="12" t="str">
        <f>VLOOKUP(A191,'Cleaned Data'!$A:$S,15,FALSE)</f>
        <v>Europe</v>
      </c>
      <c r="F191" s="2" t="s">
        <v>378</v>
      </c>
      <c r="G191" s="12" t="str">
        <f>VLOOKUP(A191,'Cleaned Data'!$A:$S,18,FALSE)</f>
        <v>2026-01-10</v>
      </c>
      <c r="H191" s="12" t="str">
        <f>VLOOKUP(A191,'Cleaned Data'!$A:$S,19,FALSE)</f>
        <v>In Transit</v>
      </c>
    </row>
    <row r="192" spans="1:8" x14ac:dyDescent="0.25">
      <c r="A192" s="2" t="s">
        <v>67</v>
      </c>
      <c r="B192" s="12" t="str">
        <f>VLOOKUP(A192,'Cleaned Data'!$A:$S,2,FALSE)</f>
        <v>AI Accelerator GPU</v>
      </c>
      <c r="C192" s="12" t="str">
        <f>VLOOKUP(A192,'Cleaned Data'!$A:$S,13,FALSE)</f>
        <v>TRK-45814</v>
      </c>
      <c r="D192" s="12" t="str">
        <f>VLOOKUP(A192,'Cleaned Data'!$A:$S,14,FALSE)</f>
        <v>DB Schenker</v>
      </c>
      <c r="E192" s="12" t="str">
        <f>VLOOKUP(A192,'Cleaned Data'!$A:$S,15,FALSE)</f>
        <v>Asia-Pacific</v>
      </c>
      <c r="F192" s="2" t="s">
        <v>378</v>
      </c>
      <c r="G192" s="12" t="str">
        <f>VLOOKUP(A192,'Cleaned Data'!$A:$S,18,FALSE)</f>
        <v>2026-03-13</v>
      </c>
      <c r="H192" s="12" t="str">
        <f>VLOOKUP(A192,'Cleaned Data'!$A:$S,19,FALSE)</f>
        <v>Delayed at Customs</v>
      </c>
    </row>
    <row r="193" spans="1:8" x14ac:dyDescent="0.25">
      <c r="A193" s="7" t="s">
        <v>89</v>
      </c>
      <c r="B193" s="12" t="str">
        <f>VLOOKUP(A193,'Cleaned Data'!$A:$S,2,FALSE)</f>
        <v>NAND Flash 3D 128-Layer</v>
      </c>
      <c r="C193" s="12" t="str">
        <f>VLOOKUP(A193,'Cleaned Data'!$A:$S,13,FALSE)</f>
        <v>TRK-99575</v>
      </c>
      <c r="D193" s="12" t="str">
        <f>VLOOKUP(A193,'Cleaned Data'!$A:$S,14,FALSE)</f>
        <v>Nippon Express</v>
      </c>
      <c r="E193" s="12" t="str">
        <f>VLOOKUP(A193,'Cleaned Data'!$A:$S,15,FALSE)</f>
        <v>Asia-Pacific</v>
      </c>
      <c r="F193" s="2" t="s">
        <v>378</v>
      </c>
      <c r="G193" s="12" t="str">
        <f>VLOOKUP(A193,'Cleaned Data'!$A:$S,18,FALSE)</f>
        <v>2026-01-15</v>
      </c>
      <c r="H193" s="12" t="str">
        <f>VLOOKUP(A193,'Cleaned Data'!$A:$S,19,FALSE)</f>
        <v>Delayed at Customs</v>
      </c>
    </row>
    <row r="194" spans="1:8" x14ac:dyDescent="0.25">
      <c r="A194" s="2" t="s">
        <v>45</v>
      </c>
      <c r="B194" s="12" t="str">
        <f>VLOOKUP(A194,'Cleaned Data'!$A:$S,2,FALSE)</f>
        <v>IGBT Power Module</v>
      </c>
      <c r="C194" s="12" t="str">
        <f>VLOOKUP(A194,'Cleaned Data'!$A:$S,13,FALSE)</f>
        <v>TRK-99582</v>
      </c>
      <c r="D194" s="12" t="str">
        <f>VLOOKUP(A194,'Cleaned Data'!$A:$S,14,FALSE)</f>
        <v>Maersk Line</v>
      </c>
      <c r="E194" s="12" t="str">
        <f>VLOOKUP(A194,'Cleaned Data'!$A:$S,15,FALSE)</f>
        <v>North America</v>
      </c>
      <c r="F194" s="2" t="s">
        <v>376</v>
      </c>
      <c r="G194" s="12" t="str">
        <f>VLOOKUP(A194,'Cleaned Data'!$A:$S,18,FALSE)</f>
        <v>2026-01-12</v>
      </c>
      <c r="H194" s="12" t="str">
        <f>VLOOKUP(A194,'Cleaned Data'!$A:$S,19,FALSE)</f>
        <v>Delivered</v>
      </c>
    </row>
    <row r="195" spans="1:8" x14ac:dyDescent="0.25">
      <c r="A195" s="7" t="s">
        <v>53</v>
      </c>
      <c r="B195" s="12" t="str">
        <f>VLOOKUP(A195,'Cleaned Data'!$A:$S,2,FALSE)</f>
        <v>Silicon Wafer 300mm</v>
      </c>
      <c r="C195" s="12" t="str">
        <f>VLOOKUP(A195,'Cleaned Data'!$A:$S,13,FALSE)</f>
        <v>TRK-28391</v>
      </c>
      <c r="D195" s="12" t="str">
        <f>VLOOKUP(A195,'Cleaned Data'!$A:$S,14,FALSE)</f>
        <v>SF Express</v>
      </c>
      <c r="E195" s="12" t="str">
        <f>VLOOKUP(A195,'Cleaned Data'!$A:$S,15,FALSE)</f>
        <v>Asia-Pacific</v>
      </c>
      <c r="F195" s="2" t="s">
        <v>378</v>
      </c>
      <c r="G195" s="12" t="str">
        <f>VLOOKUP(A195,'Cleaned Data'!$A:$S,18,FALSE)</f>
        <v>2026-04-30</v>
      </c>
      <c r="H195" s="12" t="str">
        <f>VLOOKUP(A195,'Cleaned Data'!$A:$S,19,FALSE)</f>
        <v>In Transit</v>
      </c>
    </row>
    <row r="196" spans="1:8" x14ac:dyDescent="0.25">
      <c r="A196" s="2" t="s">
        <v>89</v>
      </c>
      <c r="B196" s="12" t="str">
        <f>VLOOKUP(A196,'Cleaned Data'!$A:$S,2,FALSE)</f>
        <v>NAND Flash 3D 128-Layer</v>
      </c>
      <c r="C196" s="12" t="str">
        <f>VLOOKUP(A196,'Cleaned Data'!$A:$S,13,FALSE)</f>
        <v>TRK-99575</v>
      </c>
      <c r="D196" s="12" t="str">
        <f>VLOOKUP(A196,'Cleaned Data'!$A:$S,14,FALSE)</f>
        <v>Nippon Express</v>
      </c>
      <c r="E196" s="12" t="str">
        <f>VLOOKUP(A196,'Cleaned Data'!$A:$S,15,FALSE)</f>
        <v>Asia-Pacific</v>
      </c>
      <c r="F196" s="2" t="s">
        <v>376</v>
      </c>
      <c r="G196" s="12" t="str">
        <f>VLOOKUP(A196,'Cleaned Data'!$A:$S,18,FALSE)</f>
        <v>2026-01-15</v>
      </c>
      <c r="H196" s="12" t="str">
        <f>VLOOKUP(A196,'Cleaned Data'!$A:$S,19,FALSE)</f>
        <v>Delayed at Customs</v>
      </c>
    </row>
    <row r="197" spans="1:8" x14ac:dyDescent="0.25">
      <c r="A197" s="7" t="s">
        <v>53</v>
      </c>
      <c r="B197" s="12" t="str">
        <f>VLOOKUP(A197,'Cleaned Data'!$A:$S,2,FALSE)</f>
        <v>Silicon Wafer 300mm</v>
      </c>
      <c r="C197" s="12" t="str">
        <f>VLOOKUP(A197,'Cleaned Data'!$A:$S,13,FALSE)</f>
        <v>TRK-28391</v>
      </c>
      <c r="D197" s="12" t="str">
        <f>VLOOKUP(A197,'Cleaned Data'!$A:$S,14,FALSE)</f>
        <v>SF Express</v>
      </c>
      <c r="E197" s="12" t="str">
        <f>VLOOKUP(A197,'Cleaned Data'!$A:$S,15,FALSE)</f>
        <v>Asia-Pacific</v>
      </c>
      <c r="F197" s="2" t="s">
        <v>378</v>
      </c>
      <c r="G197" s="12" t="str">
        <f>VLOOKUP(A197,'Cleaned Data'!$A:$S,18,FALSE)</f>
        <v>2026-04-30</v>
      </c>
      <c r="H197" s="12" t="str">
        <f>VLOOKUP(A197,'Cleaned Data'!$A:$S,19,FALSE)</f>
        <v>In Transit</v>
      </c>
    </row>
    <row r="198" spans="1:8" x14ac:dyDescent="0.25">
      <c r="A198" s="2" t="s">
        <v>45</v>
      </c>
      <c r="B198" s="12" t="str">
        <f>VLOOKUP(A198,'Cleaned Data'!$A:$S,2,FALSE)</f>
        <v>IGBT Power Module</v>
      </c>
      <c r="C198" s="12" t="str">
        <f>VLOOKUP(A198,'Cleaned Data'!$A:$S,13,FALSE)</f>
        <v>TRK-99582</v>
      </c>
      <c r="D198" s="12" t="str">
        <f>VLOOKUP(A198,'Cleaned Data'!$A:$S,14,FALSE)</f>
        <v>Maersk Line</v>
      </c>
      <c r="E198" s="12" t="str">
        <f>VLOOKUP(A198,'Cleaned Data'!$A:$S,15,FALSE)</f>
        <v>North America</v>
      </c>
      <c r="F198" s="2" t="s">
        <v>376</v>
      </c>
      <c r="G198" s="12" t="str">
        <f>VLOOKUP(A198,'Cleaned Data'!$A:$S,18,FALSE)</f>
        <v>2026-01-12</v>
      </c>
      <c r="H198" s="12" t="str">
        <f>VLOOKUP(A198,'Cleaned Data'!$A:$S,19,FALSE)</f>
        <v>Delivered</v>
      </c>
    </row>
    <row r="199" spans="1:8" x14ac:dyDescent="0.25">
      <c r="A199" s="7" t="s">
        <v>67</v>
      </c>
      <c r="B199" s="12" t="str">
        <f>VLOOKUP(A199,'Cleaned Data'!$A:$S,2,FALSE)</f>
        <v>AI Accelerator GPU</v>
      </c>
      <c r="C199" s="12" t="str">
        <f>VLOOKUP(A199,'Cleaned Data'!$A:$S,13,FALSE)</f>
        <v>TRK-45814</v>
      </c>
      <c r="D199" s="12" t="str">
        <f>VLOOKUP(A199,'Cleaned Data'!$A:$S,14,FALSE)</f>
        <v>DB Schenker</v>
      </c>
      <c r="E199" s="12" t="str">
        <f>VLOOKUP(A199,'Cleaned Data'!$A:$S,15,FALSE)</f>
        <v>Asia-Pacific</v>
      </c>
      <c r="F199" s="2" t="s">
        <v>375</v>
      </c>
      <c r="G199" s="12" t="str">
        <f>VLOOKUP(A199,'Cleaned Data'!$A:$S,18,FALSE)</f>
        <v>2026-03-13</v>
      </c>
      <c r="H199" s="12" t="str">
        <f>VLOOKUP(A199,'Cleaned Data'!$A:$S,19,FALSE)</f>
        <v>Delayed at Customs</v>
      </c>
    </row>
    <row r="200" spans="1:8" x14ac:dyDescent="0.25">
      <c r="A200" s="2" t="s">
        <v>53</v>
      </c>
      <c r="B200" s="12" t="str">
        <f>VLOOKUP(A200,'Cleaned Data'!$A:$S,2,FALSE)</f>
        <v>Silicon Wafer 300mm</v>
      </c>
      <c r="C200" s="12" t="str">
        <f>VLOOKUP(A200,'Cleaned Data'!$A:$S,13,FALSE)</f>
        <v>TRK-28391</v>
      </c>
      <c r="D200" s="12" t="str">
        <f>VLOOKUP(A200,'Cleaned Data'!$A:$S,14,FALSE)</f>
        <v>SF Express</v>
      </c>
      <c r="E200" s="12" t="str">
        <f>VLOOKUP(A200,'Cleaned Data'!$A:$S,15,FALSE)</f>
        <v>Asia-Pacific</v>
      </c>
      <c r="F200" s="2" t="s">
        <v>376</v>
      </c>
      <c r="G200" s="12" t="str">
        <f>VLOOKUP(A200,'Cleaned Data'!$A:$S,18,FALSE)</f>
        <v>2026-04-30</v>
      </c>
      <c r="H200" s="12" t="str">
        <f>VLOOKUP(A200,'Cleaned Data'!$A:$S,19,FALSE)</f>
        <v>In Transit</v>
      </c>
    </row>
    <row r="201" spans="1:8" x14ac:dyDescent="0.25">
      <c r="A201" s="7" t="s">
        <v>89</v>
      </c>
      <c r="B201" s="12" t="str">
        <f>VLOOKUP(A201,'Cleaned Data'!$A:$S,2,FALSE)</f>
        <v>NAND Flash 3D 128-Layer</v>
      </c>
      <c r="C201" s="12" t="str">
        <f>VLOOKUP(A201,'Cleaned Data'!$A:$S,13,FALSE)</f>
        <v>TRK-99575</v>
      </c>
      <c r="D201" s="12" t="str">
        <f>VLOOKUP(A201,'Cleaned Data'!$A:$S,14,FALSE)</f>
        <v>Nippon Express</v>
      </c>
      <c r="E201" s="12" t="str">
        <f>VLOOKUP(A201,'Cleaned Data'!$A:$S,15,FALSE)</f>
        <v>Asia-Pacific</v>
      </c>
      <c r="F201" s="2" t="s">
        <v>376</v>
      </c>
      <c r="G201" s="12" t="str">
        <f>VLOOKUP(A201,'Cleaned Data'!$A:$S,18,FALSE)</f>
        <v>2026-01-15</v>
      </c>
      <c r="H201" s="12" t="str">
        <f>VLOOKUP(A201,'Cleaned Data'!$A:$S,19,FALSE)</f>
        <v>Delayed at Customs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Data</vt:lpstr>
      <vt:lpstr>Production</vt:lpstr>
      <vt:lpstr>Sales</vt:lpstr>
      <vt:lpstr>Suppliers</vt:lpstr>
      <vt:lpstr>Products</vt:lpstr>
      <vt:lpstr>Portable 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S0163494</dc:creator>
  <cp:lastModifiedBy>S0163494</cp:lastModifiedBy>
  <dcterms:created xsi:type="dcterms:W3CDTF">2026-07-02T09:44:55Z</dcterms:created>
  <dcterms:modified xsi:type="dcterms:W3CDTF">2026-08-12T19:05:56Z</dcterms:modified>
</cp:coreProperties>
</file>